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eBEST\xingAPI\샘플\엑셀VBA(COM버전용)\"/>
    </mc:Choice>
  </mc:AlternateContent>
  <bookViews>
    <workbookView xWindow="0" yWindow="0" windowWidth="28800" windowHeight="12540" activeTab="1"/>
  </bookViews>
  <sheets>
    <sheet name="시세" sheetId="1" r:id="rId1"/>
    <sheet name="주문&amp;계좌" sheetId="2" r:id="rId2"/>
    <sheet name="STOPLOSS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I9" i="3" l="1"/>
  <c r="J9" i="3" s="1"/>
  <c r="K9" i="3" s="1"/>
  <c r="I10" i="3"/>
  <c r="J10" i="3"/>
  <c r="K10" i="3" s="1"/>
  <c r="I11" i="3"/>
  <c r="J11" i="3"/>
  <c r="K11" i="3" s="1"/>
  <c r="F2" i="2" l="1"/>
  <c r="I30" i="2"/>
  <c r="I34" i="2"/>
  <c r="I38" i="2"/>
  <c r="I42" i="2"/>
  <c r="I46" i="2"/>
  <c r="I50" i="2"/>
  <c r="I54" i="2"/>
  <c r="I58" i="2"/>
  <c r="G29" i="2"/>
  <c r="H29" i="2"/>
  <c r="I29" i="2" s="1"/>
  <c r="G30" i="2"/>
  <c r="H30" i="2"/>
  <c r="G31" i="2"/>
  <c r="H31" i="2"/>
  <c r="I31" i="2" s="1"/>
  <c r="G32" i="2"/>
  <c r="H32" i="2"/>
  <c r="I32" i="2" s="1"/>
  <c r="G33" i="2"/>
  <c r="H33" i="2"/>
  <c r="I33" i="2" s="1"/>
  <c r="G34" i="2"/>
  <c r="H34" i="2"/>
  <c r="G35" i="2"/>
  <c r="H35" i="2"/>
  <c r="I35" i="2" s="1"/>
  <c r="G36" i="2"/>
  <c r="H36" i="2"/>
  <c r="I36" i="2" s="1"/>
  <c r="G37" i="2"/>
  <c r="H37" i="2"/>
  <c r="I37" i="2" s="1"/>
  <c r="G38" i="2"/>
  <c r="H38" i="2"/>
  <c r="G39" i="2"/>
  <c r="H39" i="2"/>
  <c r="I39" i="2" s="1"/>
  <c r="G40" i="2"/>
  <c r="H40" i="2"/>
  <c r="I40" i="2" s="1"/>
  <c r="G41" i="2"/>
  <c r="H41" i="2"/>
  <c r="I41" i="2" s="1"/>
  <c r="G42" i="2"/>
  <c r="H42" i="2"/>
  <c r="G43" i="2"/>
  <c r="H43" i="2"/>
  <c r="I43" i="2" s="1"/>
  <c r="G44" i="2"/>
  <c r="H44" i="2"/>
  <c r="I44" i="2" s="1"/>
  <c r="G45" i="2"/>
  <c r="H45" i="2"/>
  <c r="I45" i="2" s="1"/>
  <c r="G46" i="2"/>
  <c r="H46" i="2"/>
  <c r="G47" i="2"/>
  <c r="H47" i="2"/>
  <c r="I47" i="2" s="1"/>
  <c r="G48" i="2"/>
  <c r="H48" i="2"/>
  <c r="I48" i="2" s="1"/>
  <c r="G49" i="2"/>
  <c r="H49" i="2"/>
  <c r="I49" i="2" s="1"/>
  <c r="G50" i="2"/>
  <c r="H50" i="2"/>
  <c r="G51" i="2"/>
  <c r="H51" i="2"/>
  <c r="I51" i="2" s="1"/>
  <c r="G52" i="2"/>
  <c r="H52" i="2"/>
  <c r="I52" i="2" s="1"/>
  <c r="G53" i="2"/>
  <c r="H53" i="2"/>
  <c r="I53" i="2" s="1"/>
  <c r="G54" i="2"/>
  <c r="H54" i="2"/>
  <c r="G55" i="2"/>
  <c r="H55" i="2"/>
  <c r="I55" i="2" s="1"/>
  <c r="G56" i="2"/>
  <c r="H56" i="2"/>
  <c r="I56" i="2" s="1"/>
  <c r="G57" i="2"/>
  <c r="H57" i="2"/>
  <c r="I57" i="2" s="1"/>
  <c r="G58" i="2"/>
  <c r="H58" i="2"/>
  <c r="H2" i="2" l="1"/>
  <c r="I2" i="2" s="1"/>
  <c r="G2" i="2"/>
  <c r="I8" i="3"/>
  <c r="J8" i="3" s="1"/>
  <c r="K8" i="3" s="1"/>
  <c r="I7" i="3"/>
  <c r="J7" i="3" l="1"/>
  <c r="K7" i="3" s="1"/>
  <c r="F16" i="1" l="1"/>
  <c r="E16" i="1"/>
  <c r="D16" i="1"/>
  <c r="C16" i="1"/>
  <c r="B16" i="1"/>
</calcChain>
</file>

<file path=xl/sharedStrings.xml><?xml version="1.0" encoding="utf-8"?>
<sst xmlns="http://schemas.openxmlformats.org/spreadsheetml/2006/main" count="89" uniqueCount="79">
  <si>
    <t>종  목</t>
  </si>
  <si>
    <t>종목명</t>
    <phoneticPr fontId="2" type="noConversion"/>
  </si>
  <si>
    <t>현재가</t>
    <phoneticPr fontId="2" type="noConversion"/>
  </si>
  <si>
    <t>전일대비</t>
    <phoneticPr fontId="2" type="noConversion"/>
  </si>
  <si>
    <t>상한가</t>
    <phoneticPr fontId="2" type="noConversion"/>
  </si>
  <si>
    <t>하한가</t>
    <phoneticPr fontId="2" type="noConversion"/>
  </si>
  <si>
    <t>기준가</t>
    <phoneticPr fontId="2" type="noConversion"/>
  </si>
  <si>
    <t>거래량</t>
    <phoneticPr fontId="2" type="noConversion"/>
  </si>
  <si>
    <t>시가</t>
    <phoneticPr fontId="2" type="noConversion"/>
  </si>
  <si>
    <t>고가</t>
    <phoneticPr fontId="2" type="noConversion"/>
  </si>
  <si>
    <t>저가</t>
    <phoneticPr fontId="2" type="noConversion"/>
  </si>
  <si>
    <t>등락률</t>
    <phoneticPr fontId="2" type="noConversion"/>
  </si>
  <si>
    <t>시가</t>
    <phoneticPr fontId="2" type="noConversion"/>
  </si>
  <si>
    <t>고가</t>
    <phoneticPr fontId="2" type="noConversion"/>
  </si>
  <si>
    <t>저가</t>
    <phoneticPr fontId="2" type="noConversion"/>
  </si>
  <si>
    <t>종가</t>
    <phoneticPr fontId="2" type="noConversion"/>
  </si>
  <si>
    <t>날짜</t>
    <phoneticPr fontId="2" type="noConversion"/>
  </si>
  <si>
    <t>시간</t>
    <phoneticPr fontId="2" type="noConversion"/>
  </si>
  <si>
    <t>시가</t>
    <phoneticPr fontId="2" type="noConversion"/>
  </si>
  <si>
    <t>고가</t>
    <phoneticPr fontId="2" type="noConversion"/>
  </si>
  <si>
    <t>저가</t>
    <phoneticPr fontId="2" type="noConversion"/>
  </si>
  <si>
    <t>종가</t>
    <phoneticPr fontId="2" type="noConversion"/>
  </si>
  <si>
    <t>주문수량</t>
    <phoneticPr fontId="2" type="noConversion"/>
  </si>
  <si>
    <t>주문단가</t>
    <phoneticPr fontId="2" type="noConversion"/>
  </si>
  <si>
    <t>원주문번호</t>
    <phoneticPr fontId="2" type="noConversion"/>
  </si>
  <si>
    <t>현재가</t>
    <phoneticPr fontId="2" type="noConversion"/>
  </si>
  <si>
    <t>종목</t>
    <phoneticPr fontId="2" type="noConversion"/>
  </si>
  <si>
    <t>종목명</t>
    <phoneticPr fontId="2" type="noConversion"/>
  </si>
  <si>
    <t>잔고</t>
    <phoneticPr fontId="2" type="noConversion"/>
  </si>
  <si>
    <t>평균단가</t>
    <phoneticPr fontId="2" type="noConversion"/>
  </si>
  <si>
    <t>현재가</t>
    <phoneticPr fontId="2" type="noConversion"/>
  </si>
  <si>
    <t>매입금액</t>
    <phoneticPr fontId="2" type="noConversion"/>
  </si>
  <si>
    <t>평가금액</t>
    <phoneticPr fontId="2" type="noConversion"/>
  </si>
  <si>
    <t>평가손익</t>
    <phoneticPr fontId="2" type="noConversion"/>
  </si>
  <si>
    <t>손익률</t>
    <phoneticPr fontId="2" type="noConversion"/>
  </si>
  <si>
    <t>주문번호</t>
    <phoneticPr fontId="2" type="noConversion"/>
  </si>
  <si>
    <t>매매구분</t>
    <phoneticPr fontId="2" type="noConversion"/>
  </si>
  <si>
    <t>주문수량</t>
    <phoneticPr fontId="2" type="noConversion"/>
  </si>
  <si>
    <t>주문가격</t>
    <phoneticPr fontId="2" type="noConversion"/>
  </si>
  <si>
    <t>체결수량</t>
    <phoneticPr fontId="2" type="noConversion"/>
  </si>
  <si>
    <t>체결가격</t>
    <phoneticPr fontId="2" type="noConversion"/>
  </si>
  <si>
    <t>미체결량</t>
    <phoneticPr fontId="2" type="noConversion"/>
  </si>
  <si>
    <t>원주문번호</t>
    <phoneticPr fontId="2" type="noConversion"/>
  </si>
  <si>
    <t>계좌번호</t>
    <phoneticPr fontId="2" type="noConversion"/>
  </si>
  <si>
    <t>비밀번호</t>
    <phoneticPr fontId="2" type="noConversion"/>
  </si>
  <si>
    <t>종목코드</t>
    <phoneticPr fontId="2" type="noConversion"/>
  </si>
  <si>
    <t>종목명</t>
    <phoneticPr fontId="2" type="noConversion"/>
  </si>
  <si>
    <t>호가유형</t>
    <phoneticPr fontId="2" type="noConversion"/>
  </si>
  <si>
    <t>주문조건</t>
    <phoneticPr fontId="2" type="noConversion"/>
  </si>
  <si>
    <t>00:지정가</t>
  </si>
  <si>
    <t>주문번호</t>
    <phoneticPr fontId="2" type="noConversion"/>
  </si>
  <si>
    <t>0:전체</t>
  </si>
  <si>
    <t>종목번호</t>
    <phoneticPr fontId="2" type="noConversion"/>
  </si>
  <si>
    <t>종목코드</t>
    <phoneticPr fontId="2" type="noConversion"/>
  </si>
  <si>
    <t>종목명</t>
    <phoneticPr fontId="2" type="noConversion"/>
  </si>
  <si>
    <t>실행</t>
    <phoneticPr fontId="2" type="noConversion"/>
  </si>
  <si>
    <t>평가금액</t>
    <phoneticPr fontId="2" type="noConversion"/>
  </si>
  <si>
    <t>평가손익</t>
    <phoneticPr fontId="2" type="noConversion"/>
  </si>
  <si>
    <t>손익률</t>
    <phoneticPr fontId="2" type="noConversion"/>
  </si>
  <si>
    <t>목표가</t>
    <phoneticPr fontId="2" type="noConversion"/>
  </si>
  <si>
    <t>잔고</t>
    <phoneticPr fontId="2" type="noConversion"/>
  </si>
  <si>
    <t>계좌번호</t>
    <phoneticPr fontId="2" type="noConversion"/>
  </si>
  <si>
    <t>비밀번호</t>
    <phoneticPr fontId="2" type="noConversion"/>
  </si>
  <si>
    <t>손실제한</t>
    <phoneticPr fontId="2" type="noConversion"/>
  </si>
  <si>
    <t>이익실현</t>
    <phoneticPr fontId="2" type="noConversion"/>
  </si>
  <si>
    <t>잔고</t>
    <phoneticPr fontId="2" type="noConversion"/>
  </si>
  <si>
    <t>평균가</t>
    <phoneticPr fontId="2" type="noConversion"/>
  </si>
  <si>
    <t>현재가</t>
    <phoneticPr fontId="2" type="noConversion"/>
  </si>
  <si>
    <t>전일가</t>
    <phoneticPr fontId="2" type="noConversion"/>
  </si>
  <si>
    <t>매입금액</t>
    <phoneticPr fontId="2" type="noConversion"/>
  </si>
  <si>
    <t>주문번호</t>
    <phoneticPr fontId="2" type="noConversion"/>
  </si>
  <si>
    <t>메시지</t>
    <phoneticPr fontId="2" type="noConversion"/>
  </si>
  <si>
    <t>매도잔량</t>
    <phoneticPr fontId="2" type="noConversion"/>
  </si>
  <si>
    <t>매수잔량</t>
    <phoneticPr fontId="2" type="noConversion"/>
  </si>
  <si>
    <t>0:없음</t>
  </si>
  <si>
    <t>15:10:01</t>
    <phoneticPr fontId="2" type="noConversion"/>
  </si>
  <si>
    <t>계좌명</t>
    <phoneticPr fontId="2" type="noConversion"/>
  </si>
  <si>
    <t>계좌상세명</t>
    <phoneticPr fontId="2" type="noConversion"/>
  </si>
  <si>
    <t>종목코드 입력 후 엔터키를 누르세요.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</si>
</sst>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#,##0_ "/>
    <numFmt numFmtId="177" formatCode="#,##0.00_ 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49" fontId="3" fillId="4" borderId="4" xfId="0" applyNumberFormat="1" applyFont="1" applyFill="1" applyBorder="1" applyAlignment="1">
      <alignment horizontal="center" vertical="center"/>
    </xf>
    <xf numFmtId="41" fontId="0" fillId="3" borderId="0" xfId="0" applyNumberFormat="1" applyFill="1">
      <alignment vertical="center"/>
    </xf>
    <xf numFmtId="49" fontId="0" fillId="3" borderId="1" xfId="0" applyNumberFormat="1" applyFill="1" applyBorder="1" applyAlignment="1">
      <alignment horizontal="center" vertical="center"/>
    </xf>
    <xf numFmtId="41" fontId="5" fillId="3" borderId="8" xfId="1" applyFont="1" applyFill="1" applyBorder="1" applyAlignment="1">
      <alignment horizontal="right" vertical="center"/>
    </xf>
    <xf numFmtId="41" fontId="5" fillId="7" borderId="6" xfId="1" applyFont="1" applyFill="1" applyBorder="1" applyAlignment="1">
      <alignment horizontal="center" vertical="center"/>
    </xf>
    <xf numFmtId="41" fontId="5" fillId="3" borderId="2" xfId="1" applyFont="1" applyFill="1" applyBorder="1" applyAlignment="1">
      <alignment vertical="center"/>
    </xf>
    <xf numFmtId="41" fontId="5" fillId="3" borderId="6" xfId="1" applyFont="1" applyFill="1" applyBorder="1" applyAlignment="1">
      <alignment horizontal="right" vertical="center"/>
    </xf>
    <xf numFmtId="41" fontId="5" fillId="3" borderId="3" xfId="1" applyFont="1" applyFill="1" applyBorder="1" applyAlignment="1">
      <alignment vertical="center"/>
    </xf>
    <xf numFmtId="41" fontId="5" fillId="3" borderId="7" xfId="1" applyFont="1" applyFill="1" applyBorder="1" applyAlignment="1">
      <alignment horizontal="right" vertical="center"/>
    </xf>
    <xf numFmtId="41" fontId="5" fillId="7" borderId="8" xfId="1" applyFont="1" applyFill="1" applyBorder="1" applyAlignment="1">
      <alignment horizontal="center" vertical="center"/>
    </xf>
    <xf numFmtId="41" fontId="5" fillId="7" borderId="7" xfId="1" applyFont="1" applyFill="1" applyBorder="1" applyAlignment="1">
      <alignment horizontal="center" vertical="center"/>
    </xf>
    <xf numFmtId="41" fontId="5" fillId="3" borderId="4" xfId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/>
    </xf>
    <xf numFmtId="41" fontId="5" fillId="6" borderId="8" xfId="1" applyFont="1" applyFill="1" applyBorder="1" applyAlignment="1">
      <alignment horizontal="center" vertical="center"/>
    </xf>
    <xf numFmtId="41" fontId="5" fillId="3" borderId="3" xfId="1" applyFont="1" applyFill="1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41" fontId="5" fillId="6" borderId="6" xfId="1" applyFont="1" applyFill="1" applyBorder="1" applyAlignment="1">
      <alignment horizontal="center" vertical="center"/>
    </xf>
    <xf numFmtId="41" fontId="5" fillId="6" borderId="7" xfId="1" applyFont="1" applyFill="1" applyBorder="1" applyAlignment="1">
      <alignment horizontal="center" vertical="center"/>
    </xf>
    <xf numFmtId="41" fontId="5" fillId="3" borderId="4" xfId="1" applyFont="1" applyFill="1" applyBorder="1">
      <alignment vertical="center"/>
    </xf>
    <xf numFmtId="41" fontId="5" fillId="3" borderId="2" xfId="1" applyFont="1" applyFill="1" applyBorder="1">
      <alignment vertical="center"/>
    </xf>
    <xf numFmtId="0" fontId="5" fillId="3" borderId="7" xfId="0" applyFont="1" applyFill="1" applyBorder="1" applyAlignment="1">
      <alignment horizontal="center" vertical="center"/>
    </xf>
    <xf numFmtId="41" fontId="5" fillId="3" borderId="5" xfId="1" applyFont="1" applyFill="1" applyBorder="1" applyAlignment="1">
      <alignment vertical="center"/>
    </xf>
    <xf numFmtId="41" fontId="0" fillId="3" borderId="1" xfId="1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0" fontId="4" fillId="3" borderId="0" xfId="0" applyFont="1" applyFill="1">
      <alignment vertical="center"/>
    </xf>
    <xf numFmtId="0" fontId="6" fillId="3" borderId="0" xfId="0" applyFont="1" applyFill="1" applyAlignment="1">
      <alignment vertical="center" shrinkToFit="1"/>
    </xf>
    <xf numFmtId="14" fontId="6" fillId="3" borderId="0" xfId="0" applyNumberFormat="1" applyFont="1" applyFill="1">
      <alignment vertical="center"/>
    </xf>
    <xf numFmtId="41" fontId="6" fillId="3" borderId="0" xfId="0" applyNumberFormat="1" applyFont="1" applyFill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76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 applyAlignment="1">
      <alignment horizontal="left" vertical="center"/>
    </xf>
    <xf numFmtId="0" fontId="0" fillId="3" borderId="0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76" fontId="0" fillId="3" borderId="0" xfId="0" applyNumberFormat="1" applyFill="1">
      <alignment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0" fillId="3" borderId="1" xfId="0" applyNumberFormat="1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10" fontId="0" fillId="3" borderId="1" xfId="2" applyNumberFormat="1" applyFont="1" applyFill="1" applyBorder="1">
      <alignment vertical="center"/>
    </xf>
    <xf numFmtId="0" fontId="0" fillId="3" borderId="2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49" fontId="0" fillId="3" borderId="2" xfId="0" applyNumberFormat="1" applyFill="1" applyBorder="1" applyAlignment="1">
      <alignment vertical="center"/>
    </xf>
    <xf numFmtId="49" fontId="0" fillId="3" borderId="1" xfId="0" applyNumberForma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176" fontId="5" fillId="3" borderId="1" xfId="0" applyNumberFormat="1" applyFont="1" applyFill="1" applyBorder="1">
      <alignment vertical="center"/>
    </xf>
    <xf numFmtId="10" fontId="5" fillId="3" borderId="1" xfId="2" applyNumberFormat="1" applyFont="1" applyFill="1" applyBorder="1">
      <alignment vertical="center"/>
    </xf>
    <xf numFmtId="0" fontId="0" fillId="8" borderId="0" xfId="0" applyFill="1">
      <alignment vertical="center"/>
    </xf>
    <xf numFmtId="49" fontId="0" fillId="3" borderId="1" xfId="0" applyNumberForma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76" fontId="5" fillId="3" borderId="5" xfId="1" applyNumberFormat="1" applyFont="1" applyFill="1" applyBorder="1" applyAlignment="1">
      <alignment horizontal="right" vertical="center"/>
    </xf>
    <xf numFmtId="176" fontId="5" fillId="3" borderId="9" xfId="1" applyNumberFormat="1" applyFont="1" applyFill="1" applyBorder="1" applyAlignment="1">
      <alignment horizontal="right" vertical="center"/>
    </xf>
    <xf numFmtId="176" fontId="5" fillId="3" borderId="10" xfId="1" applyNumberFormat="1" applyFont="1" applyFill="1" applyBorder="1" applyAlignment="1">
      <alignment horizontal="right" vertical="center"/>
    </xf>
    <xf numFmtId="49" fontId="5" fillId="3" borderId="5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3" borderId="10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177" fontId="5" fillId="3" borderId="5" xfId="1" applyNumberFormat="1" applyFont="1" applyFill="1" applyBorder="1" applyAlignment="1">
      <alignment horizontal="right" vertical="center"/>
    </xf>
    <xf numFmtId="177" fontId="5" fillId="3" borderId="9" xfId="1" applyNumberFormat="1" applyFont="1" applyFill="1" applyBorder="1" applyAlignment="1">
      <alignment horizontal="right" vertical="center"/>
    </xf>
    <xf numFmtId="177" fontId="5" fillId="3" borderId="10" xfId="1" applyNumberFormat="1" applyFont="1" applyFill="1" applyBorder="1" applyAlignment="1">
      <alignment horizontal="right" vertical="center"/>
    </xf>
    <xf numFmtId="176" fontId="5" fillId="7" borderId="5" xfId="1" applyNumberFormat="1" applyFont="1" applyFill="1" applyBorder="1" applyAlignment="1">
      <alignment horizontal="right" vertical="center"/>
    </xf>
    <xf numFmtId="176" fontId="5" fillId="7" borderId="9" xfId="1" applyNumberFormat="1" applyFont="1" applyFill="1" applyBorder="1" applyAlignment="1">
      <alignment horizontal="right" vertical="center"/>
    </xf>
    <xf numFmtId="176" fontId="5" fillId="7" borderId="10" xfId="1" applyNumberFormat="1" applyFont="1" applyFill="1" applyBorder="1" applyAlignment="1">
      <alignment horizontal="right" vertical="center"/>
    </xf>
    <xf numFmtId="176" fontId="5" fillId="5" borderId="5" xfId="1" applyNumberFormat="1" applyFont="1" applyFill="1" applyBorder="1" applyAlignment="1">
      <alignment horizontal="right" vertical="center"/>
    </xf>
    <xf numFmtId="176" fontId="5" fillId="5" borderId="9" xfId="1" applyNumberFormat="1" applyFont="1" applyFill="1" applyBorder="1" applyAlignment="1">
      <alignment horizontal="right" vertical="center"/>
    </xf>
    <xf numFmtId="176" fontId="5" fillId="5" borderId="10" xfId="1" applyNumberFormat="1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top"/>
    </xf>
    <xf numFmtId="0" fontId="0" fillId="3" borderId="11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3" borderId="12" xfId="0" applyFill="1" applyBorder="1" applyAlignment="1">
      <alignment horizontal="center" vertical="top"/>
    </xf>
    <xf numFmtId="0" fontId="0" fillId="3" borderId="7" xfId="0" applyFill="1" applyBorder="1" applyAlignment="1">
      <alignment horizontal="center" vertical="top"/>
    </xf>
    <xf numFmtId="0" fontId="0" fillId="3" borderId="13" xfId="0" applyFill="1" applyBorder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5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theme="0"/>
      </font>
      <fill>
        <patternFill>
          <bgColor theme="7" tint="-0.24994659260841701"/>
        </patternFill>
      </fill>
      <border>
        <vertical/>
        <horizontal/>
      </border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tx>
            <c:strRef>
              <c:f>시세!$C$15</c:f>
              <c:strCache>
                <c:ptCount val="1"/>
                <c:pt idx="0">
                  <c:v>시가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시세!$B$16</c:f>
              <c:numCache>
                <c:formatCode>m/d/yyyy</c:formatCode>
                <c:ptCount val="1"/>
                <c:pt idx="0">
                  <c:v>43069</c:v>
                </c:pt>
              </c:numCache>
            </c:numRef>
          </c:cat>
          <c:val>
            <c:numRef>
              <c:f>시세!$C$16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시세!$D$15</c:f>
              <c:strCache>
                <c:ptCount val="1"/>
                <c:pt idx="0">
                  <c:v>고가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시세!$B$16</c:f>
              <c:numCache>
                <c:formatCode>m/d/yyyy</c:formatCode>
                <c:ptCount val="1"/>
                <c:pt idx="0">
                  <c:v>43069</c:v>
                </c:pt>
              </c:numCache>
            </c:numRef>
          </c:cat>
          <c:val>
            <c:numRef>
              <c:f>시세!$D$16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시세!$E$15</c:f>
              <c:strCache>
                <c:ptCount val="1"/>
                <c:pt idx="0">
                  <c:v>저가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시세!$B$16</c:f>
              <c:numCache>
                <c:formatCode>m/d/yyyy</c:formatCode>
                <c:ptCount val="1"/>
                <c:pt idx="0">
                  <c:v>43069</c:v>
                </c:pt>
              </c:numCache>
            </c:numRef>
          </c:cat>
          <c:val>
            <c:numRef>
              <c:f>시세!$E$16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시세!$F$15</c:f>
              <c:strCache>
                <c:ptCount val="1"/>
                <c:pt idx="0">
                  <c:v>종가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시세!$B$16</c:f>
              <c:numCache>
                <c:formatCode>m/d/yyyy</c:formatCode>
                <c:ptCount val="1"/>
                <c:pt idx="0">
                  <c:v>43069</c:v>
                </c:pt>
              </c:numCache>
            </c:numRef>
          </c:cat>
          <c:val>
            <c:numRef>
              <c:f>시세!$F$16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</c:spPr>
          </c:upBars>
          <c:downBars>
            <c:spPr>
              <a:solidFill>
                <a:srgbClr val="0070C0"/>
              </a:solidFill>
            </c:spPr>
          </c:downBars>
        </c:upDownBars>
        <c:axId val="198692536"/>
        <c:axId val="198081888"/>
      </c:stockChart>
      <c:dateAx>
        <c:axId val="198692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98081888"/>
        <c:crosses val="autoZero"/>
        <c:auto val="1"/>
        <c:lblOffset val="100"/>
        <c:baseTimeUnit val="days"/>
      </c:dateAx>
      <c:valAx>
        <c:axId val="198081888"/>
        <c:scaling>
          <c:orientation val="minMax"/>
        </c:scaling>
        <c:delete val="1"/>
        <c:axPos val="l"/>
        <c:numFmt formatCode="_(* #,##0_);_(* \(#,##0\);_(* &quot;-&quot;_);_(@_)" sourceLinked="1"/>
        <c:majorTickMark val="out"/>
        <c:minorTickMark val="none"/>
        <c:tickLblPos val="nextTo"/>
        <c:crossAx val="19869253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tx>
            <c:strRef>
              <c:f>시세!$M$2</c:f>
              <c:strCache>
                <c:ptCount val="1"/>
                <c:pt idx="0">
                  <c:v>시가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시세!$L$3:$L$23</c:f>
              <c:numCache>
                <c:formatCode>@</c:formatCode>
                <c:ptCount val="21"/>
              </c:numCache>
            </c:numRef>
          </c:cat>
          <c:val>
            <c:numRef>
              <c:f>시세!$M$3:$M$23</c:f>
              <c:numCache>
                <c:formatCode>_(* #,##0_);_(* \(#,##0\);_(* "-"_);_(@_)</c:formatCode>
                <c:ptCount val="21"/>
              </c:numCache>
            </c:numRef>
          </c:val>
          <c:smooth val="0"/>
        </c:ser>
        <c:ser>
          <c:idx val="1"/>
          <c:order val="1"/>
          <c:tx>
            <c:strRef>
              <c:f>시세!$N$2</c:f>
              <c:strCache>
                <c:ptCount val="1"/>
                <c:pt idx="0">
                  <c:v>고가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시세!$L$3:$L$23</c:f>
              <c:numCache>
                <c:formatCode>@</c:formatCode>
                <c:ptCount val="21"/>
              </c:numCache>
            </c:numRef>
          </c:cat>
          <c:val>
            <c:numRef>
              <c:f>시세!$N$3:$N$23</c:f>
              <c:numCache>
                <c:formatCode>_(* #,##0_);_(* \(#,##0\);_(* "-"_);_(@_)</c:formatCode>
                <c:ptCount val="21"/>
              </c:numCache>
            </c:numRef>
          </c:val>
          <c:smooth val="0"/>
        </c:ser>
        <c:ser>
          <c:idx val="2"/>
          <c:order val="2"/>
          <c:tx>
            <c:strRef>
              <c:f>시세!$O$2</c:f>
              <c:strCache>
                <c:ptCount val="1"/>
                <c:pt idx="0">
                  <c:v>저가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시세!$L$3:$L$23</c:f>
              <c:numCache>
                <c:formatCode>@</c:formatCode>
                <c:ptCount val="21"/>
              </c:numCache>
            </c:numRef>
          </c:cat>
          <c:val>
            <c:numRef>
              <c:f>시세!$O$3:$O$23</c:f>
              <c:numCache>
                <c:formatCode>_(* #,##0_);_(* \(#,##0\);_(* "-"_);_(@_)</c:formatCode>
                <c:ptCount val="21"/>
              </c:numCache>
            </c:numRef>
          </c:val>
          <c:smooth val="0"/>
        </c:ser>
        <c:ser>
          <c:idx val="3"/>
          <c:order val="3"/>
          <c:tx>
            <c:strRef>
              <c:f>시세!$P$2</c:f>
              <c:strCache>
                <c:ptCount val="1"/>
                <c:pt idx="0">
                  <c:v>종가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시세!$L$3:$L$23</c:f>
              <c:numCache>
                <c:formatCode>@</c:formatCode>
                <c:ptCount val="21"/>
              </c:numCache>
            </c:numRef>
          </c:cat>
          <c:val>
            <c:numRef>
              <c:f>시세!$P$3:$P$23</c:f>
              <c:numCache>
                <c:formatCode>_(* #,##0_);_(* \(#,##0\);_(* "-"_);_(@_)</c:formatCode>
                <c:ptCount val="2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</c:spPr>
          </c:upBars>
          <c:downBars>
            <c:spPr>
              <a:solidFill>
                <a:srgbClr val="0070C0"/>
              </a:solidFill>
            </c:spPr>
          </c:downBars>
        </c:upDownBars>
        <c:axId val="198486464"/>
        <c:axId val="198340168"/>
      </c:stockChart>
      <c:catAx>
        <c:axId val="198486464"/>
        <c:scaling>
          <c:orientation val="maxMin"/>
        </c:scaling>
        <c:delete val="0"/>
        <c:axPos val="b"/>
        <c:numFmt formatCode="@" sourceLinked="1"/>
        <c:majorTickMark val="out"/>
        <c:minorTickMark val="none"/>
        <c:tickLblPos val="nextTo"/>
        <c:crossAx val="198340168"/>
        <c:crosses val="autoZero"/>
        <c:auto val="1"/>
        <c:lblAlgn val="ctr"/>
        <c:lblOffset val="100"/>
        <c:noMultiLvlLbl val="0"/>
      </c:catAx>
      <c:valAx>
        <c:axId val="198340168"/>
        <c:scaling>
          <c:orientation val="minMax"/>
        </c:scaling>
        <c:delete val="0"/>
        <c:axPos val="r"/>
        <c:majorGridlines/>
        <c:numFmt formatCode="_(* #,##0_);_(* \(#,##0\);_(* &quot;-&quot;_);_(@_)" sourceLinked="1"/>
        <c:majorTickMark val="out"/>
        <c:minorTickMark val="none"/>
        <c:tickLblPos val="nextTo"/>
        <c:crossAx val="19848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257176</xdr:colOff>
      <xdr:row>14</xdr:row>
      <xdr:rowOff>30959</xdr:rowOff>
    </xdr:from>
    <xdr:to>
      <xdr:col>6</xdr:col>
      <xdr:colOff>11906</xdr:colOff>
      <xdr:row>23</xdr:row>
      <xdr:rowOff>47626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221456</xdr:colOff>
      <xdr:row>23</xdr:row>
      <xdr:rowOff>85725</xdr:rowOff>
    </xdr:from>
    <xdr:to>
      <xdr:col>16</xdr:col>
      <xdr:colOff>59530</xdr:colOff>
      <xdr:row>45</xdr:row>
      <xdr:rowOff>66675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12</xdr:row>
          <xdr:rowOff>133350</xdr:rowOff>
        </xdr:from>
        <xdr:to>
          <xdr:col>11</xdr:col>
          <xdr:colOff>228600</xdr:colOff>
          <xdr:row>15</xdr:row>
          <xdr:rowOff>66675</xdr:rowOff>
        </xdr:to>
        <xdr:sp macro="" textlink="">
          <xdr:nvSpPr>
            <xdr:cNvPr id="2052" name="btnOrder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55" name="tbPwd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19050</xdr:rowOff>
        </xdr:from>
        <xdr:to>
          <xdr:col>11</xdr:col>
          <xdr:colOff>1371600</xdr:colOff>
          <xdr:row>3</xdr:row>
          <xdr:rowOff>0</xdr:rowOff>
        </xdr:to>
        <xdr:sp macro="" textlink="">
          <xdr:nvSpPr>
            <xdr:cNvPr id="2060" name="cbAccount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12</xdr:row>
          <xdr:rowOff>133350</xdr:rowOff>
        </xdr:from>
        <xdr:to>
          <xdr:col>11</xdr:col>
          <xdr:colOff>1362075</xdr:colOff>
          <xdr:row>15</xdr:row>
          <xdr:rowOff>66675</xdr:rowOff>
        </xdr:to>
        <xdr:sp macro="" textlink="">
          <xdr:nvSpPr>
            <xdr:cNvPr id="2061" name="btnOrder2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15</xdr:row>
          <xdr:rowOff>85725</xdr:rowOff>
        </xdr:from>
        <xdr:to>
          <xdr:col>11</xdr:col>
          <xdr:colOff>228600</xdr:colOff>
          <xdr:row>18</xdr:row>
          <xdr:rowOff>19050</xdr:rowOff>
        </xdr:to>
        <xdr:sp macro="" textlink="">
          <xdr:nvSpPr>
            <xdr:cNvPr id="2062" name="btnModify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15</xdr:row>
          <xdr:rowOff>85725</xdr:rowOff>
        </xdr:from>
        <xdr:to>
          <xdr:col>11</xdr:col>
          <xdr:colOff>1362075</xdr:colOff>
          <xdr:row>18</xdr:row>
          <xdr:rowOff>19050</xdr:rowOff>
        </xdr:to>
        <xdr:sp macro="" textlink="">
          <xdr:nvSpPr>
            <xdr:cNvPr id="2063" name="btnCancel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47625</xdr:rowOff>
        </xdr:from>
        <xdr:to>
          <xdr:col>15</xdr:col>
          <xdr:colOff>323850</xdr:colOff>
          <xdr:row>1</xdr:row>
          <xdr:rowOff>161925</xdr:rowOff>
        </xdr:to>
        <xdr:sp macro="" textlink="">
          <xdr:nvSpPr>
            <xdr:cNvPr id="2064" name="btnOrderList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0</xdr:row>
          <xdr:rowOff>57150</xdr:rowOff>
        </xdr:from>
        <xdr:to>
          <xdr:col>18</xdr:col>
          <xdr:colOff>9525</xdr:colOff>
          <xdr:row>1</xdr:row>
          <xdr:rowOff>152400</xdr:rowOff>
        </xdr:to>
        <xdr:sp macro="" textlink="">
          <xdr:nvSpPr>
            <xdr:cNvPr id="2067" name="btnOrderListNext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57150</xdr:rowOff>
        </xdr:from>
        <xdr:to>
          <xdr:col>2</xdr:col>
          <xdr:colOff>457200</xdr:colOff>
          <xdr:row>1</xdr:row>
          <xdr:rowOff>152400</xdr:rowOff>
        </xdr:to>
        <xdr:sp macro="" textlink="">
          <xdr:nvSpPr>
            <xdr:cNvPr id="2069" name="btnBalanceList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0</xdr:row>
          <xdr:rowOff>66675</xdr:rowOff>
        </xdr:from>
        <xdr:to>
          <xdr:col>4</xdr:col>
          <xdr:colOff>590550</xdr:colOff>
          <xdr:row>1</xdr:row>
          <xdr:rowOff>161925</xdr:rowOff>
        </xdr:to>
        <xdr:sp macro="" textlink="">
          <xdr:nvSpPr>
            <xdr:cNvPr id="2070" name="btnBalanceListNex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57150</xdr:rowOff>
        </xdr:from>
        <xdr:to>
          <xdr:col>2</xdr:col>
          <xdr:colOff>381000</xdr:colOff>
          <xdr:row>3</xdr:row>
          <xdr:rowOff>438150</xdr:rowOff>
        </xdr:to>
        <xdr:sp macro="" textlink="">
          <xdr:nvSpPr>
            <xdr:cNvPr id="3073" name="btnBalanceLis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19050</xdr:rowOff>
        </xdr:from>
        <xdr:to>
          <xdr:col>2</xdr:col>
          <xdr:colOff>400050</xdr:colOff>
          <xdr:row>2</xdr:row>
          <xdr:rowOff>200025</xdr:rowOff>
        </xdr:to>
        <xdr:sp macro="" textlink="">
          <xdr:nvSpPr>
            <xdr:cNvPr id="3074" name="tbPwd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9525</xdr:rowOff>
        </xdr:from>
        <xdr:to>
          <xdr:col>2</xdr:col>
          <xdr:colOff>409575</xdr:colOff>
          <xdr:row>1</xdr:row>
          <xdr:rowOff>190500</xdr:rowOff>
        </xdr:to>
        <xdr:sp macro="" textlink="">
          <xdr:nvSpPr>
            <xdr:cNvPr id="3075" name="cbAccoun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1.xml"/><Relationship Id="rId7" Type="http://schemas.openxmlformats.org/officeDocument/2006/relationships/control" Target="../activeX/activeX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XDK23"/>
  <sheetViews>
    <sheetView zoomScale="80" zoomScaleNormal="80" workbookViewId="0">
      <selection activeCell="C2" sqref="C2:F2"/>
    </sheetView>
  </sheetViews>
  <sheetFormatPr defaultRowHeight="16.5" x14ac:dyDescent="0.3"/>
  <cols>
    <col min="1" max="1" width="3.375" style="1" customWidth="1"/>
    <col min="2" max="2" width="10.625" style="1" customWidth="1"/>
    <col min="3" max="5" width="4.125" style="1" customWidth="1"/>
    <col min="6" max="6" width="5.375" style="1" customWidth="1"/>
    <col min="7" max="7" width="2" style="1" customWidth="1"/>
    <col min="8" max="10" width="14.375" style="1" customWidth="1"/>
    <col min="11" max="11" width="1.125" style="1" customWidth="1"/>
    <col min="12" max="12" width="9" style="1"/>
    <col min="13" max="16" width="10.875" style="1" bestFit="1" customWidth="1"/>
    <col min="17" max="16384" width="9" style="1"/>
  </cols>
  <sheetData>
    <row r="1" spans="2:16 16339:16339" x14ac:dyDescent="0.3">
      <c r="B1" s="53" t="s">
        <v>78</v>
      </c>
      <c r="C1" s="53"/>
      <c r="D1" s="53"/>
      <c r="E1" s="53"/>
      <c r="F1" s="53"/>
      <c r="G1" s="53"/>
      <c r="H1" s="53"/>
    </row>
    <row r="2" spans="2:16 16339:16339" x14ac:dyDescent="0.3">
      <c r="B2" s="3" t="s">
        <v>0</v>
      </c>
      <c r="C2" s="60"/>
      <c r="D2" s="61"/>
      <c r="E2" s="61"/>
      <c r="F2" s="62"/>
      <c r="H2" s="5" t="s">
        <v>72</v>
      </c>
      <c r="I2" s="6" t="s">
        <v>75</v>
      </c>
      <c r="J2" s="4" t="s">
        <v>73</v>
      </c>
      <c r="L2" s="29" t="s">
        <v>17</v>
      </c>
      <c r="M2" s="29" t="s">
        <v>18</v>
      </c>
      <c r="N2" s="29" t="s">
        <v>19</v>
      </c>
      <c r="O2" s="29" t="s">
        <v>20</v>
      </c>
      <c r="P2" s="29" t="s">
        <v>21</v>
      </c>
    </row>
    <row r="3" spans="2:16 16339:16339" x14ac:dyDescent="0.3">
      <c r="B3" s="3" t="s">
        <v>1</v>
      </c>
      <c r="C3" s="63"/>
      <c r="D3" s="64"/>
      <c r="E3" s="64"/>
      <c r="F3" s="65"/>
      <c r="H3" s="9"/>
      <c r="I3" s="10"/>
      <c r="J3" s="11"/>
      <c r="L3" s="8"/>
      <c r="M3" s="28"/>
      <c r="N3" s="28"/>
      <c r="O3" s="28"/>
      <c r="P3" s="28"/>
    </row>
    <row r="4" spans="2:16 16339:16339" x14ac:dyDescent="0.3">
      <c r="B4" s="3" t="s">
        <v>2</v>
      </c>
      <c r="C4" s="57"/>
      <c r="D4" s="58"/>
      <c r="E4" s="58"/>
      <c r="F4" s="59"/>
      <c r="G4" s="7"/>
      <c r="H4" s="12"/>
      <c r="I4" s="10"/>
      <c r="J4" s="13"/>
      <c r="L4" s="8"/>
      <c r="M4" s="28"/>
      <c r="N4" s="28"/>
      <c r="O4" s="28"/>
      <c r="P4" s="28"/>
    </row>
    <row r="5" spans="2:16 16339:16339" x14ac:dyDescent="0.3">
      <c r="B5" s="55" t="s">
        <v>3</v>
      </c>
      <c r="C5" s="57"/>
      <c r="D5" s="58"/>
      <c r="E5" s="58"/>
      <c r="F5" s="59"/>
      <c r="H5" s="12"/>
      <c r="I5" s="10"/>
      <c r="J5" s="13"/>
      <c r="L5" s="8"/>
      <c r="M5" s="28"/>
      <c r="N5" s="28"/>
      <c r="O5" s="28"/>
      <c r="P5" s="28"/>
    </row>
    <row r="6" spans="2:16 16339:16339" x14ac:dyDescent="0.3">
      <c r="B6" s="56"/>
      <c r="C6" s="57"/>
      <c r="D6" s="58"/>
      <c r="E6" s="58"/>
      <c r="F6" s="59"/>
      <c r="H6" s="12"/>
      <c r="I6" s="10"/>
      <c r="J6" s="13"/>
      <c r="L6" s="8"/>
      <c r="M6" s="28"/>
      <c r="N6" s="28"/>
      <c r="O6" s="28"/>
      <c r="P6" s="28"/>
    </row>
    <row r="7" spans="2:16 16339:16339" x14ac:dyDescent="0.3">
      <c r="B7" s="3" t="s">
        <v>11</v>
      </c>
      <c r="C7" s="66"/>
      <c r="D7" s="67"/>
      <c r="E7" s="67"/>
      <c r="F7" s="68"/>
      <c r="H7" s="14"/>
      <c r="I7" s="10"/>
      <c r="J7" s="13"/>
      <c r="L7" s="8"/>
      <c r="M7" s="28"/>
      <c r="N7" s="28"/>
      <c r="O7" s="28"/>
      <c r="P7" s="28"/>
    </row>
    <row r="8" spans="2:16 16339:16339" x14ac:dyDescent="0.3">
      <c r="B8" s="3" t="s">
        <v>7</v>
      </c>
      <c r="C8" s="57"/>
      <c r="D8" s="58"/>
      <c r="E8" s="58"/>
      <c r="F8" s="59"/>
      <c r="H8" s="9"/>
      <c r="I8" s="15"/>
      <c r="J8" s="13"/>
      <c r="L8" s="8"/>
      <c r="M8" s="28"/>
      <c r="N8" s="28"/>
      <c r="O8" s="28"/>
      <c r="P8" s="28"/>
    </row>
    <row r="9" spans="2:16 16339:16339" x14ac:dyDescent="0.3">
      <c r="B9" s="3" t="s">
        <v>4</v>
      </c>
      <c r="C9" s="69"/>
      <c r="D9" s="70"/>
      <c r="E9" s="70"/>
      <c r="F9" s="71"/>
      <c r="H9" s="12"/>
      <c r="I9" s="10"/>
      <c r="J9" s="13"/>
      <c r="L9" s="8"/>
      <c r="M9" s="28"/>
      <c r="N9" s="28"/>
      <c r="O9" s="28"/>
      <c r="P9" s="28"/>
      <c r="XDK9" s="2"/>
    </row>
    <row r="10" spans="2:16 16339:16339" x14ac:dyDescent="0.3">
      <c r="B10" s="3" t="s">
        <v>5</v>
      </c>
      <c r="C10" s="72"/>
      <c r="D10" s="73"/>
      <c r="E10" s="73"/>
      <c r="F10" s="74"/>
      <c r="H10" s="12"/>
      <c r="I10" s="10"/>
      <c r="J10" s="13"/>
      <c r="L10" s="8"/>
      <c r="M10" s="28"/>
      <c r="N10" s="28"/>
      <c r="O10" s="28"/>
      <c r="P10" s="28"/>
    </row>
    <row r="11" spans="2:16 16339:16339" x14ac:dyDescent="0.3">
      <c r="B11" s="3" t="s">
        <v>6</v>
      </c>
      <c r="C11" s="57"/>
      <c r="D11" s="58"/>
      <c r="E11" s="58"/>
      <c r="F11" s="59"/>
      <c r="H11" s="12"/>
      <c r="I11" s="10"/>
      <c r="J11" s="13"/>
      <c r="L11" s="8"/>
      <c r="M11" s="28"/>
      <c r="N11" s="28"/>
      <c r="O11" s="28"/>
      <c r="P11" s="28"/>
    </row>
    <row r="12" spans="2:16 16339:16339" x14ac:dyDescent="0.3">
      <c r="B12" s="3" t="s">
        <v>8</v>
      </c>
      <c r="C12" s="57"/>
      <c r="D12" s="58"/>
      <c r="E12" s="58"/>
      <c r="F12" s="59"/>
      <c r="H12" s="14"/>
      <c r="I12" s="16"/>
      <c r="J12" s="17"/>
      <c r="L12" s="8"/>
      <c r="M12" s="28"/>
      <c r="N12" s="28"/>
      <c r="O12" s="28"/>
      <c r="P12" s="28"/>
    </row>
    <row r="13" spans="2:16 16339:16339" x14ac:dyDescent="0.3">
      <c r="B13" s="3" t="s">
        <v>9</v>
      </c>
      <c r="C13" s="57"/>
      <c r="D13" s="58"/>
      <c r="E13" s="58"/>
      <c r="F13" s="59"/>
      <c r="H13" s="18"/>
      <c r="I13" s="19"/>
      <c r="J13" s="20"/>
      <c r="L13" s="8"/>
      <c r="M13" s="28"/>
      <c r="N13" s="28"/>
      <c r="O13" s="28"/>
      <c r="P13" s="28"/>
    </row>
    <row r="14" spans="2:16 16339:16339" x14ac:dyDescent="0.3">
      <c r="B14" s="3" t="s">
        <v>10</v>
      </c>
      <c r="C14" s="57"/>
      <c r="D14" s="58"/>
      <c r="E14" s="58"/>
      <c r="F14" s="59"/>
      <c r="H14" s="21"/>
      <c r="I14" s="22"/>
      <c r="J14" s="20"/>
      <c r="L14" s="8"/>
      <c r="M14" s="28"/>
      <c r="N14" s="28"/>
      <c r="O14" s="28"/>
      <c r="P14" s="28"/>
    </row>
    <row r="15" spans="2:16 16339:16339" x14ac:dyDescent="0.3">
      <c r="B15" s="30" t="s">
        <v>16</v>
      </c>
      <c r="C15" s="31" t="s">
        <v>12</v>
      </c>
      <c r="D15" s="31" t="s">
        <v>13</v>
      </c>
      <c r="E15" s="31" t="s">
        <v>14</v>
      </c>
      <c r="F15" s="31" t="s">
        <v>15</v>
      </c>
      <c r="H15" s="21"/>
      <c r="I15" s="22"/>
      <c r="J15" s="20"/>
      <c r="L15" s="8"/>
      <c r="M15" s="28"/>
      <c r="N15" s="28"/>
      <c r="O15" s="28"/>
      <c r="P15" s="28"/>
    </row>
    <row r="16" spans="2:16 16339:16339" x14ac:dyDescent="0.3">
      <c r="B16" s="32">
        <f ca="1">TODAY()</f>
        <v>43069</v>
      </c>
      <c r="C16" s="33">
        <f>C12</f>
        <v>0</v>
      </c>
      <c r="D16" s="33">
        <f>C13</f>
        <v>0</v>
      </c>
      <c r="E16" s="33">
        <f>C14</f>
        <v>0</v>
      </c>
      <c r="F16" s="33">
        <f>C4</f>
        <v>0</v>
      </c>
      <c r="H16" s="21"/>
      <c r="I16" s="22"/>
      <c r="J16" s="20"/>
      <c r="L16" s="8"/>
      <c r="M16" s="28"/>
      <c r="N16" s="28"/>
      <c r="O16" s="28"/>
      <c r="P16" s="28"/>
    </row>
    <row r="17" spans="8:16" x14ac:dyDescent="0.3">
      <c r="H17" s="21"/>
      <c r="I17" s="23"/>
      <c r="J17" s="24"/>
      <c r="L17" s="8"/>
      <c r="M17" s="28"/>
      <c r="N17" s="28"/>
      <c r="O17" s="28"/>
      <c r="P17" s="28"/>
    </row>
    <row r="18" spans="8:16" x14ac:dyDescent="0.3">
      <c r="H18" s="21"/>
      <c r="I18" s="19"/>
      <c r="J18" s="25"/>
      <c r="L18" s="8"/>
      <c r="M18" s="28"/>
      <c r="N18" s="28"/>
      <c r="O18" s="28"/>
      <c r="P18" s="28"/>
    </row>
    <row r="19" spans="8:16" x14ac:dyDescent="0.3">
      <c r="H19" s="21"/>
      <c r="I19" s="22"/>
      <c r="J19" s="20"/>
      <c r="L19" s="8"/>
      <c r="M19" s="28"/>
      <c r="N19" s="28"/>
      <c r="O19" s="28"/>
      <c r="P19" s="28"/>
    </row>
    <row r="20" spans="8:16" x14ac:dyDescent="0.3">
      <c r="H20" s="21"/>
      <c r="I20" s="22"/>
      <c r="J20" s="20"/>
      <c r="L20" s="8"/>
      <c r="M20" s="28"/>
      <c r="N20" s="28"/>
      <c r="O20" s="28"/>
      <c r="P20" s="28"/>
    </row>
    <row r="21" spans="8:16" x14ac:dyDescent="0.3">
      <c r="H21" s="21"/>
      <c r="I21" s="22"/>
      <c r="J21" s="20"/>
      <c r="L21" s="8"/>
      <c r="M21" s="28"/>
      <c r="N21" s="28"/>
      <c r="O21" s="28"/>
      <c r="P21" s="28"/>
    </row>
    <row r="22" spans="8:16" x14ac:dyDescent="0.3">
      <c r="H22" s="26"/>
      <c r="I22" s="23"/>
      <c r="J22" s="24"/>
      <c r="L22" s="8"/>
      <c r="M22" s="28"/>
      <c r="N22" s="28"/>
      <c r="O22" s="28"/>
      <c r="P22" s="28"/>
    </row>
    <row r="23" spans="8:16" x14ac:dyDescent="0.3">
      <c r="H23" s="27"/>
      <c r="I23" s="27"/>
      <c r="J23" s="24"/>
      <c r="L23" s="8"/>
      <c r="M23" s="28"/>
      <c r="N23" s="28"/>
      <c r="O23" s="28"/>
      <c r="P23" s="28"/>
    </row>
  </sheetData>
  <mergeCells count="14">
    <mergeCell ref="B5:B6"/>
    <mergeCell ref="C14:F14"/>
    <mergeCell ref="C2:F2"/>
    <mergeCell ref="C3:F3"/>
    <mergeCell ref="C4:F4"/>
    <mergeCell ref="C6:F6"/>
    <mergeCell ref="C7:F7"/>
    <mergeCell ref="C8:F8"/>
    <mergeCell ref="C9:F9"/>
    <mergeCell ref="C10:F10"/>
    <mergeCell ref="C11:F11"/>
    <mergeCell ref="C12:F12"/>
    <mergeCell ref="C13:F13"/>
    <mergeCell ref="C5:F5"/>
  </mergeCells>
  <phoneticPr fontId="2" type="noConversion"/>
  <conditionalFormatting sqref="C12:F14 I3:I22">
    <cfRule type="cellIs" dxfId="14" priority="14" operator="lessThan">
      <formula>$C$11</formula>
    </cfRule>
    <cfRule type="cellIs" dxfId="13" priority="15" operator="greaterThan">
      <formula>$C$11</formula>
    </cfRule>
  </conditionalFormatting>
  <conditionalFormatting sqref="I23">
    <cfRule type="expression" dxfId="12" priority="8">
      <formula>$I$23&lt;0</formula>
    </cfRule>
    <cfRule type="expression" dxfId="11" priority="9">
      <formula>$I$23&gt;0</formula>
    </cfRule>
  </conditionalFormatting>
  <conditionalFormatting sqref="I3:I22">
    <cfRule type="cellIs" dxfId="10" priority="5" operator="equal">
      <formula>$C$4</formula>
    </cfRule>
  </conditionalFormatting>
  <conditionalFormatting sqref="C4:F7">
    <cfRule type="expression" dxfId="9" priority="1">
      <formula>$C$11&lt;$C$4</formula>
    </cfRule>
    <cfRule type="expression" dxfId="8" priority="2">
      <formula>$C$11&gt;$C$4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68"/>
  <sheetViews>
    <sheetView tabSelected="1" workbookViewId="0">
      <selection activeCell="L1" sqref="L1"/>
    </sheetView>
  </sheetViews>
  <sheetFormatPr defaultRowHeight="16.5" x14ac:dyDescent="0.3"/>
  <cols>
    <col min="1" max="2" width="9" style="1"/>
    <col min="3" max="5" width="9" style="40"/>
    <col min="6" max="7" width="11.375" style="40" bestFit="1" customWidth="1"/>
    <col min="8" max="8" width="9.25" style="40" bestFit="1" customWidth="1"/>
    <col min="9" max="9" width="8" style="40" bestFit="1" customWidth="1"/>
    <col min="10" max="10" width="1" style="1" customWidth="1"/>
    <col min="11" max="11" width="12" style="1" customWidth="1"/>
    <col min="12" max="12" width="18.125" style="1" customWidth="1"/>
    <col min="13" max="13" width="1" style="1" customWidth="1"/>
    <col min="14" max="17" width="9" style="1"/>
    <col min="18" max="22" width="9" style="40"/>
    <col min="23" max="23" width="11.25" style="1" bestFit="1" customWidth="1"/>
    <col min="24" max="16384" width="9" style="1"/>
  </cols>
  <sheetData>
    <row r="1" spans="1:23" x14ac:dyDescent="0.3">
      <c r="F1" s="41" t="s">
        <v>31</v>
      </c>
      <c r="G1" s="41" t="s">
        <v>32</v>
      </c>
      <c r="H1" s="41" t="s">
        <v>33</v>
      </c>
      <c r="I1" s="41" t="s">
        <v>34</v>
      </c>
    </row>
    <row r="2" spans="1:23" x14ac:dyDescent="0.3">
      <c r="F2" s="51">
        <f>SUM(F4:F58)</f>
        <v>0</v>
      </c>
      <c r="G2" s="51">
        <f>SUM(G4:G58)</f>
        <v>0</v>
      </c>
      <c r="H2" s="51">
        <f>SUM(H4:H58)</f>
        <v>0</v>
      </c>
      <c r="I2" s="52" t="str">
        <f>IFERROR(H2/F2,"")</f>
        <v/>
      </c>
      <c r="O2" s="38"/>
      <c r="W2" s="39" t="s">
        <v>51</v>
      </c>
    </row>
    <row r="3" spans="1:23" x14ac:dyDescent="0.3">
      <c r="A3" s="29" t="s">
        <v>26</v>
      </c>
      <c r="B3" s="29" t="s">
        <v>27</v>
      </c>
      <c r="C3" s="41" t="s">
        <v>28</v>
      </c>
      <c r="D3" s="41" t="s">
        <v>29</v>
      </c>
      <c r="E3" s="41" t="s">
        <v>30</v>
      </c>
      <c r="F3" s="41" t="s">
        <v>31</v>
      </c>
      <c r="G3" s="41" t="s">
        <v>32</v>
      </c>
      <c r="H3" s="41" t="s">
        <v>33</v>
      </c>
      <c r="I3" s="41" t="s">
        <v>34</v>
      </c>
      <c r="K3" s="29" t="s">
        <v>43</v>
      </c>
      <c r="L3" s="34"/>
      <c r="N3" s="29" t="s">
        <v>35</v>
      </c>
      <c r="O3" s="29" t="s">
        <v>52</v>
      </c>
      <c r="P3" s="29" t="s">
        <v>27</v>
      </c>
      <c r="Q3" s="29" t="s">
        <v>36</v>
      </c>
      <c r="R3" s="41" t="s">
        <v>37</v>
      </c>
      <c r="S3" s="41" t="s">
        <v>38</v>
      </c>
      <c r="T3" s="41" t="s">
        <v>39</v>
      </c>
      <c r="U3" s="41" t="s">
        <v>40</v>
      </c>
      <c r="V3" s="41" t="s">
        <v>41</v>
      </c>
      <c r="W3" s="29" t="s">
        <v>42</v>
      </c>
    </row>
    <row r="4" spans="1:23" x14ac:dyDescent="0.3">
      <c r="A4" s="54"/>
      <c r="B4" s="2"/>
      <c r="C4" s="42"/>
      <c r="D4" s="42"/>
      <c r="E4" s="42"/>
      <c r="F4" s="42"/>
      <c r="G4" s="42"/>
      <c r="H4" s="42"/>
      <c r="I4" s="45"/>
      <c r="K4" s="29" t="s">
        <v>44</v>
      </c>
      <c r="L4" s="34"/>
      <c r="N4" s="2"/>
      <c r="O4" s="2"/>
      <c r="P4" s="2"/>
      <c r="Q4" s="2"/>
      <c r="R4" s="42"/>
      <c r="S4" s="42"/>
      <c r="T4" s="42"/>
      <c r="U4" s="42"/>
      <c r="V4" s="42"/>
      <c r="W4" s="2"/>
    </row>
    <row r="5" spans="1:23" x14ac:dyDescent="0.3">
      <c r="A5" s="2"/>
      <c r="B5" s="2"/>
      <c r="C5" s="42"/>
      <c r="D5" s="42"/>
      <c r="E5" s="42"/>
      <c r="F5" s="42"/>
      <c r="G5" s="42"/>
      <c r="H5" s="42"/>
      <c r="I5" s="45"/>
      <c r="K5" s="29" t="s">
        <v>45</v>
      </c>
      <c r="L5" s="37"/>
      <c r="N5" s="2"/>
      <c r="O5" s="2"/>
      <c r="P5" s="2"/>
      <c r="Q5" s="2"/>
      <c r="R5" s="42"/>
      <c r="S5" s="42"/>
      <c r="T5" s="42"/>
      <c r="U5" s="42"/>
      <c r="V5" s="42"/>
      <c r="W5" s="2"/>
    </row>
    <row r="6" spans="1:23" x14ac:dyDescent="0.3">
      <c r="A6" s="2"/>
      <c r="B6" s="2"/>
      <c r="C6" s="42"/>
      <c r="D6" s="42"/>
      <c r="E6" s="42"/>
      <c r="F6" s="42"/>
      <c r="G6" s="42"/>
      <c r="H6" s="42"/>
      <c r="I6" s="45"/>
      <c r="K6" s="29" t="s">
        <v>46</v>
      </c>
      <c r="L6" s="35"/>
      <c r="N6" s="2"/>
      <c r="O6" s="2"/>
      <c r="P6" s="2"/>
      <c r="Q6" s="2"/>
      <c r="R6" s="42"/>
      <c r="S6" s="42"/>
      <c r="T6" s="42"/>
      <c r="U6" s="42"/>
      <c r="V6" s="42"/>
      <c r="W6" s="2"/>
    </row>
    <row r="7" spans="1:23" x14ac:dyDescent="0.3">
      <c r="A7" s="2"/>
      <c r="B7" s="2"/>
      <c r="C7" s="42"/>
      <c r="D7" s="42"/>
      <c r="E7" s="42"/>
      <c r="F7" s="42"/>
      <c r="G7" s="42"/>
      <c r="H7" s="42"/>
      <c r="I7" s="45"/>
      <c r="K7" s="29" t="s">
        <v>47</v>
      </c>
      <c r="L7" s="35" t="s">
        <v>49</v>
      </c>
      <c r="N7" s="2"/>
      <c r="O7" s="2"/>
      <c r="P7" s="2"/>
      <c r="Q7" s="2"/>
      <c r="R7" s="42"/>
      <c r="S7" s="42"/>
      <c r="T7" s="42"/>
      <c r="U7" s="42"/>
      <c r="V7" s="42"/>
      <c r="W7" s="2"/>
    </row>
    <row r="8" spans="1:23" x14ac:dyDescent="0.3">
      <c r="A8" s="2"/>
      <c r="B8" s="2"/>
      <c r="C8" s="42"/>
      <c r="D8" s="42"/>
      <c r="E8" s="42"/>
      <c r="F8" s="42"/>
      <c r="G8" s="42"/>
      <c r="H8" s="42"/>
      <c r="I8" s="45"/>
      <c r="K8" s="29" t="s">
        <v>48</v>
      </c>
      <c r="L8" s="35" t="s">
        <v>74</v>
      </c>
      <c r="N8" s="2"/>
      <c r="O8" s="2"/>
      <c r="P8" s="2"/>
      <c r="Q8" s="2"/>
      <c r="R8" s="42"/>
      <c r="S8" s="42"/>
      <c r="T8" s="42"/>
      <c r="U8" s="42"/>
      <c r="V8" s="42"/>
      <c r="W8" s="2"/>
    </row>
    <row r="9" spans="1:23" x14ac:dyDescent="0.3">
      <c r="A9" s="2"/>
      <c r="B9" s="2"/>
      <c r="C9" s="42"/>
      <c r="D9" s="42"/>
      <c r="E9" s="42"/>
      <c r="F9" s="42"/>
      <c r="G9" s="42"/>
      <c r="H9" s="42"/>
      <c r="I9" s="45"/>
      <c r="K9" s="29" t="s">
        <v>22</v>
      </c>
      <c r="L9" s="36"/>
      <c r="N9" s="2"/>
      <c r="O9" s="2"/>
      <c r="P9" s="2"/>
      <c r="Q9" s="2"/>
      <c r="R9" s="42"/>
      <c r="S9" s="42"/>
      <c r="T9" s="42"/>
      <c r="U9" s="42"/>
      <c r="V9" s="42"/>
      <c r="W9" s="2"/>
    </row>
    <row r="10" spans="1:23" x14ac:dyDescent="0.3">
      <c r="A10" s="2"/>
      <c r="B10" s="2"/>
      <c r="C10" s="42"/>
      <c r="D10" s="42"/>
      <c r="E10" s="42"/>
      <c r="F10" s="42"/>
      <c r="G10" s="42"/>
      <c r="H10" s="42"/>
      <c r="I10" s="45"/>
      <c r="K10" s="29" t="s">
        <v>23</v>
      </c>
      <c r="L10" s="36"/>
      <c r="N10" s="2"/>
      <c r="O10" s="2"/>
      <c r="P10" s="2"/>
      <c r="Q10" s="2"/>
      <c r="R10" s="42"/>
      <c r="S10" s="42"/>
      <c r="T10" s="42"/>
      <c r="U10" s="42"/>
      <c r="V10" s="42"/>
      <c r="W10" s="2"/>
    </row>
    <row r="11" spans="1:23" x14ac:dyDescent="0.3">
      <c r="A11" s="2"/>
      <c r="B11" s="2"/>
      <c r="C11" s="42"/>
      <c r="D11" s="42"/>
      <c r="E11" s="42"/>
      <c r="F11" s="42"/>
      <c r="G11" s="42"/>
      <c r="H11" s="42"/>
      <c r="I11" s="45"/>
      <c r="K11" s="29" t="s">
        <v>24</v>
      </c>
      <c r="L11" s="37"/>
      <c r="N11" s="2"/>
      <c r="O11" s="2"/>
      <c r="P11" s="2"/>
      <c r="Q11" s="2"/>
      <c r="R11" s="42"/>
      <c r="S11" s="42"/>
      <c r="T11" s="42"/>
      <c r="U11" s="42"/>
      <c r="V11" s="42"/>
      <c r="W11" s="2"/>
    </row>
    <row r="12" spans="1:23" x14ac:dyDescent="0.3">
      <c r="A12" s="2"/>
      <c r="B12" s="2"/>
      <c r="C12" s="42"/>
      <c r="D12" s="42"/>
      <c r="E12" s="42"/>
      <c r="F12" s="42"/>
      <c r="G12" s="42"/>
      <c r="H12" s="42"/>
      <c r="I12" s="45"/>
      <c r="K12" s="29" t="s">
        <v>25</v>
      </c>
      <c r="L12" s="36"/>
      <c r="N12" s="2"/>
      <c r="O12" s="2"/>
      <c r="P12" s="2"/>
      <c r="Q12" s="2"/>
      <c r="R12" s="42"/>
      <c r="S12" s="42"/>
      <c r="T12" s="42"/>
      <c r="U12" s="42"/>
      <c r="V12" s="42"/>
      <c r="W12" s="2"/>
    </row>
    <row r="13" spans="1:23" x14ac:dyDescent="0.3">
      <c r="A13" s="2"/>
      <c r="B13" s="2"/>
      <c r="C13" s="42"/>
      <c r="D13" s="42"/>
      <c r="E13" s="42"/>
      <c r="F13" s="42"/>
      <c r="G13" s="42"/>
      <c r="H13" s="42"/>
      <c r="I13" s="45"/>
      <c r="N13" s="2"/>
      <c r="O13" s="2"/>
      <c r="P13" s="2"/>
      <c r="Q13" s="2"/>
      <c r="R13" s="42"/>
      <c r="S13" s="42"/>
      <c r="T13" s="42"/>
      <c r="U13" s="42"/>
      <c r="V13" s="42"/>
      <c r="W13" s="2"/>
    </row>
    <row r="14" spans="1:23" x14ac:dyDescent="0.3">
      <c r="A14" s="2"/>
      <c r="B14" s="2"/>
      <c r="C14" s="42"/>
      <c r="D14" s="42"/>
      <c r="E14" s="42"/>
      <c r="F14" s="42"/>
      <c r="G14" s="42"/>
      <c r="H14" s="42"/>
      <c r="I14" s="45"/>
      <c r="N14" s="2"/>
      <c r="O14" s="2"/>
      <c r="P14" s="2"/>
      <c r="Q14" s="2"/>
      <c r="R14" s="42"/>
      <c r="S14" s="42"/>
      <c r="T14" s="42"/>
      <c r="U14" s="42"/>
      <c r="V14" s="42"/>
      <c r="W14" s="2"/>
    </row>
    <row r="15" spans="1:23" x14ac:dyDescent="0.3">
      <c r="A15" s="2"/>
      <c r="B15" s="2"/>
      <c r="C15" s="42"/>
      <c r="D15" s="42"/>
      <c r="E15" s="42"/>
      <c r="F15" s="42"/>
      <c r="G15" s="42"/>
      <c r="H15" s="42"/>
      <c r="I15" s="45"/>
      <c r="N15" s="2"/>
      <c r="O15" s="2"/>
      <c r="P15" s="2"/>
      <c r="Q15" s="2"/>
      <c r="R15" s="42"/>
      <c r="S15" s="42"/>
      <c r="T15" s="42"/>
      <c r="U15" s="42"/>
      <c r="V15" s="42"/>
      <c r="W15" s="2"/>
    </row>
    <row r="16" spans="1:23" x14ac:dyDescent="0.3">
      <c r="A16" s="2"/>
      <c r="B16" s="2"/>
      <c r="C16" s="42"/>
      <c r="D16" s="42"/>
      <c r="E16" s="42"/>
      <c r="F16" s="42"/>
      <c r="G16" s="42"/>
      <c r="H16" s="42"/>
      <c r="I16" s="45"/>
      <c r="N16" s="2"/>
      <c r="O16" s="2"/>
      <c r="P16" s="2"/>
      <c r="Q16" s="2"/>
      <c r="R16" s="42"/>
      <c r="S16" s="42"/>
      <c r="T16" s="42"/>
      <c r="U16" s="42"/>
      <c r="V16" s="42"/>
      <c r="W16" s="2"/>
    </row>
    <row r="17" spans="1:23" x14ac:dyDescent="0.3">
      <c r="A17" s="2"/>
      <c r="B17" s="2"/>
      <c r="C17" s="42"/>
      <c r="D17" s="42"/>
      <c r="E17" s="42"/>
      <c r="F17" s="42"/>
      <c r="G17" s="42"/>
      <c r="H17" s="42"/>
      <c r="I17" s="45"/>
      <c r="N17" s="2"/>
      <c r="O17" s="2"/>
      <c r="P17" s="2"/>
      <c r="Q17" s="2"/>
      <c r="R17" s="42"/>
      <c r="S17" s="42"/>
      <c r="T17" s="42"/>
      <c r="U17" s="42"/>
      <c r="V17" s="42"/>
      <c r="W17" s="2"/>
    </row>
    <row r="18" spans="1:23" x14ac:dyDescent="0.3">
      <c r="A18" s="2"/>
      <c r="B18" s="2"/>
      <c r="C18" s="42"/>
      <c r="D18" s="42"/>
      <c r="E18" s="42"/>
      <c r="F18" s="42"/>
      <c r="G18" s="42"/>
      <c r="H18" s="42"/>
      <c r="I18" s="45"/>
      <c r="N18" s="2"/>
      <c r="O18" s="2"/>
      <c r="P18" s="2"/>
      <c r="Q18" s="2"/>
      <c r="R18" s="42"/>
      <c r="S18" s="42"/>
      <c r="T18" s="42"/>
      <c r="U18" s="42"/>
      <c r="V18" s="42"/>
      <c r="W18" s="2"/>
    </row>
    <row r="19" spans="1:23" x14ac:dyDescent="0.3">
      <c r="A19" s="2"/>
      <c r="B19" s="2"/>
      <c r="C19" s="42"/>
      <c r="D19" s="42"/>
      <c r="E19" s="42"/>
      <c r="F19" s="42"/>
      <c r="G19" s="42"/>
      <c r="H19" s="42"/>
      <c r="I19" s="45"/>
      <c r="N19" s="2"/>
      <c r="O19" s="2"/>
      <c r="P19" s="2"/>
      <c r="Q19" s="2"/>
      <c r="R19" s="42"/>
      <c r="S19" s="42"/>
      <c r="T19" s="42"/>
      <c r="U19" s="42"/>
      <c r="V19" s="42"/>
      <c r="W19" s="2"/>
    </row>
    <row r="20" spans="1:23" x14ac:dyDescent="0.3">
      <c r="A20" s="2"/>
      <c r="B20" s="2"/>
      <c r="C20" s="42"/>
      <c r="D20" s="42"/>
      <c r="E20" s="42"/>
      <c r="F20" s="42"/>
      <c r="G20" s="42"/>
      <c r="H20" s="42"/>
      <c r="I20" s="45"/>
      <c r="K20" s="29" t="s">
        <v>50</v>
      </c>
      <c r="L20" s="34"/>
      <c r="N20" s="2"/>
      <c r="O20" s="2"/>
      <c r="P20" s="2"/>
      <c r="Q20" s="2"/>
      <c r="R20" s="42"/>
      <c r="S20" s="42"/>
      <c r="T20" s="42"/>
      <c r="U20" s="42"/>
      <c r="V20" s="42"/>
      <c r="W20" s="2"/>
    </row>
    <row r="21" spans="1:23" x14ac:dyDescent="0.3">
      <c r="A21" s="2"/>
      <c r="B21" s="2"/>
      <c r="C21" s="42"/>
      <c r="D21" s="42"/>
      <c r="E21" s="42"/>
      <c r="F21" s="42"/>
      <c r="G21" s="42"/>
      <c r="H21" s="42"/>
      <c r="I21" s="45"/>
      <c r="K21" s="75" t="s">
        <v>71</v>
      </c>
      <c r="L21" s="75"/>
      <c r="N21" s="2"/>
      <c r="O21" s="2"/>
      <c r="P21" s="2"/>
      <c r="Q21" s="2"/>
      <c r="R21" s="42"/>
      <c r="S21" s="42"/>
      <c r="T21" s="42"/>
      <c r="U21" s="42"/>
      <c r="V21" s="42"/>
      <c r="W21" s="2"/>
    </row>
    <row r="22" spans="1:23" x14ac:dyDescent="0.3">
      <c r="A22" s="2"/>
      <c r="B22" s="2"/>
      <c r="C22" s="42"/>
      <c r="D22" s="42"/>
      <c r="E22" s="42"/>
      <c r="F22" s="42"/>
      <c r="G22" s="42"/>
      <c r="H22" s="42"/>
      <c r="I22" s="45"/>
      <c r="K22" s="76"/>
      <c r="L22" s="77"/>
      <c r="N22" s="2"/>
      <c r="O22" s="2"/>
      <c r="P22" s="2"/>
      <c r="Q22" s="2"/>
      <c r="R22" s="42"/>
      <c r="S22" s="42"/>
      <c r="T22" s="42"/>
      <c r="U22" s="42"/>
      <c r="V22" s="42"/>
      <c r="W22" s="2"/>
    </row>
    <row r="23" spans="1:23" x14ac:dyDescent="0.3">
      <c r="A23" s="2"/>
      <c r="B23" s="2"/>
      <c r="C23" s="42"/>
      <c r="D23" s="42"/>
      <c r="E23" s="42"/>
      <c r="F23" s="42"/>
      <c r="G23" s="42"/>
      <c r="H23" s="42"/>
      <c r="I23" s="45"/>
      <c r="K23" s="78"/>
      <c r="L23" s="79"/>
      <c r="N23" s="2"/>
      <c r="O23" s="2"/>
      <c r="P23" s="2"/>
      <c r="Q23" s="2"/>
      <c r="R23" s="42"/>
      <c r="S23" s="42"/>
      <c r="T23" s="42"/>
      <c r="U23" s="42"/>
      <c r="V23" s="42"/>
      <c r="W23" s="2"/>
    </row>
    <row r="24" spans="1:23" x14ac:dyDescent="0.3">
      <c r="A24" s="2"/>
      <c r="B24" s="2"/>
      <c r="C24" s="42"/>
      <c r="D24" s="42"/>
      <c r="E24" s="42"/>
      <c r="F24" s="42"/>
      <c r="G24" s="42"/>
      <c r="H24" s="42"/>
      <c r="I24" s="45"/>
      <c r="K24" s="78"/>
      <c r="L24" s="79"/>
      <c r="N24" s="2"/>
      <c r="O24" s="2"/>
      <c r="P24" s="2"/>
      <c r="Q24" s="2"/>
      <c r="R24" s="42"/>
      <c r="S24" s="42"/>
      <c r="T24" s="42"/>
      <c r="U24" s="42"/>
      <c r="V24" s="42"/>
      <c r="W24" s="2"/>
    </row>
    <row r="25" spans="1:23" x14ac:dyDescent="0.3">
      <c r="A25" s="2"/>
      <c r="B25" s="2"/>
      <c r="C25" s="42"/>
      <c r="D25" s="42"/>
      <c r="E25" s="42"/>
      <c r="F25" s="42"/>
      <c r="G25" s="42"/>
      <c r="H25" s="42"/>
      <c r="I25" s="45"/>
      <c r="K25" s="78"/>
      <c r="L25" s="79"/>
      <c r="N25" s="2"/>
      <c r="O25" s="2"/>
      <c r="P25" s="2"/>
      <c r="Q25" s="2"/>
      <c r="R25" s="42"/>
      <c r="S25" s="42"/>
      <c r="T25" s="42"/>
      <c r="U25" s="42"/>
      <c r="V25" s="42"/>
      <c r="W25" s="2"/>
    </row>
    <row r="26" spans="1:23" x14ac:dyDescent="0.3">
      <c r="A26" s="2"/>
      <c r="B26" s="2"/>
      <c r="C26" s="42"/>
      <c r="D26" s="42"/>
      <c r="E26" s="42"/>
      <c r="F26" s="42"/>
      <c r="G26" s="42"/>
      <c r="H26" s="42"/>
      <c r="I26" s="45"/>
      <c r="K26" s="78"/>
      <c r="L26" s="79"/>
      <c r="N26" s="2"/>
      <c r="O26" s="2"/>
      <c r="P26" s="2"/>
      <c r="Q26" s="2"/>
      <c r="R26" s="42"/>
      <c r="S26" s="42"/>
      <c r="T26" s="42"/>
      <c r="U26" s="42"/>
      <c r="V26" s="42"/>
      <c r="W26" s="2"/>
    </row>
    <row r="27" spans="1:23" x14ac:dyDescent="0.3">
      <c r="A27" s="2"/>
      <c r="B27" s="2"/>
      <c r="C27" s="42"/>
      <c r="D27" s="42"/>
      <c r="E27" s="42"/>
      <c r="F27" s="42"/>
      <c r="G27" s="42"/>
      <c r="H27" s="42"/>
      <c r="I27" s="45"/>
      <c r="K27" s="78"/>
      <c r="L27" s="79"/>
      <c r="N27" s="2"/>
      <c r="O27" s="2"/>
      <c r="P27" s="2"/>
      <c r="Q27" s="2"/>
      <c r="R27" s="42"/>
      <c r="S27" s="42"/>
      <c r="T27" s="42"/>
      <c r="U27" s="42"/>
      <c r="V27" s="42"/>
      <c r="W27" s="2"/>
    </row>
    <row r="28" spans="1:23" x14ac:dyDescent="0.3">
      <c r="A28" s="2"/>
      <c r="B28" s="2"/>
      <c r="C28" s="42"/>
      <c r="D28" s="42"/>
      <c r="E28" s="42"/>
      <c r="F28" s="42"/>
      <c r="G28" s="42"/>
      <c r="H28" s="42"/>
      <c r="I28" s="45"/>
      <c r="K28" s="78"/>
      <c r="L28" s="79"/>
      <c r="N28" s="2"/>
      <c r="O28" s="2"/>
      <c r="P28" s="2"/>
      <c r="Q28" s="2"/>
      <c r="R28" s="42"/>
      <c r="S28" s="42"/>
      <c r="T28" s="42"/>
      <c r="U28" s="42"/>
      <c r="V28" s="42"/>
      <c r="W28" s="2"/>
    </row>
    <row r="29" spans="1:23" x14ac:dyDescent="0.3">
      <c r="A29" s="2"/>
      <c r="B29" s="2"/>
      <c r="C29" s="42"/>
      <c r="D29" s="42"/>
      <c r="E29" s="42"/>
      <c r="F29" s="42"/>
      <c r="G29" s="42" t="str">
        <f t="shared" ref="G29:G58" si="0">IF( C29="", "",C29*E29)</f>
        <v/>
      </c>
      <c r="H29" s="42" t="str">
        <f t="shared" ref="H29:H58" si="1">IF( F29="", "",G29-F29)</f>
        <v/>
      </c>
      <c r="I29" s="45" t="str">
        <f t="shared" ref="I29:I58" si="2">IFERROR( H29/F29, "")</f>
        <v/>
      </c>
      <c r="K29" s="80"/>
      <c r="L29" s="81"/>
      <c r="N29" s="2"/>
      <c r="O29" s="2"/>
      <c r="P29" s="2"/>
      <c r="Q29" s="2"/>
      <c r="R29" s="42"/>
      <c r="S29" s="42"/>
      <c r="T29" s="42"/>
      <c r="U29" s="42"/>
      <c r="V29" s="42"/>
      <c r="W29" s="2"/>
    </row>
    <row r="30" spans="1:23" x14ac:dyDescent="0.3">
      <c r="A30" s="2"/>
      <c r="B30" s="2"/>
      <c r="C30" s="42"/>
      <c r="D30" s="42"/>
      <c r="E30" s="42"/>
      <c r="F30" s="42"/>
      <c r="G30" s="42" t="str">
        <f t="shared" si="0"/>
        <v/>
      </c>
      <c r="H30" s="42" t="str">
        <f t="shared" si="1"/>
        <v/>
      </c>
      <c r="I30" s="45" t="str">
        <f t="shared" si="2"/>
        <v/>
      </c>
      <c r="N30" s="2"/>
      <c r="O30" s="2"/>
      <c r="P30" s="2"/>
      <c r="Q30" s="2"/>
      <c r="R30" s="42"/>
      <c r="S30" s="42"/>
      <c r="T30" s="42"/>
      <c r="U30" s="42"/>
      <c r="V30" s="42"/>
      <c r="W30" s="2"/>
    </row>
    <row r="31" spans="1:23" x14ac:dyDescent="0.3">
      <c r="A31" s="2"/>
      <c r="B31" s="2"/>
      <c r="C31" s="42"/>
      <c r="D31" s="42"/>
      <c r="E31" s="42"/>
      <c r="F31" s="42"/>
      <c r="G31" s="42" t="str">
        <f t="shared" si="0"/>
        <v/>
      </c>
      <c r="H31" s="42" t="str">
        <f t="shared" si="1"/>
        <v/>
      </c>
      <c r="I31" s="45" t="str">
        <f t="shared" si="2"/>
        <v/>
      </c>
      <c r="N31" s="2"/>
      <c r="O31" s="2"/>
      <c r="P31" s="2"/>
      <c r="Q31" s="2"/>
      <c r="R31" s="42"/>
      <c r="S31" s="42"/>
      <c r="T31" s="42"/>
      <c r="U31" s="42"/>
      <c r="V31" s="42"/>
      <c r="W31" s="2"/>
    </row>
    <row r="32" spans="1:23" x14ac:dyDescent="0.3">
      <c r="A32" s="2"/>
      <c r="B32" s="2"/>
      <c r="C32" s="42"/>
      <c r="D32" s="42"/>
      <c r="E32" s="42"/>
      <c r="F32" s="42"/>
      <c r="G32" s="42" t="str">
        <f t="shared" si="0"/>
        <v/>
      </c>
      <c r="H32" s="42" t="str">
        <f t="shared" si="1"/>
        <v/>
      </c>
      <c r="I32" s="45" t="str">
        <f t="shared" si="2"/>
        <v/>
      </c>
      <c r="K32" s="2" t="s">
        <v>76</v>
      </c>
      <c r="L32" s="2"/>
      <c r="N32" s="2"/>
      <c r="O32" s="2"/>
      <c r="P32" s="2"/>
      <c r="Q32" s="2"/>
      <c r="R32" s="42"/>
      <c r="S32" s="42"/>
      <c r="T32" s="42"/>
      <c r="U32" s="42"/>
      <c r="V32" s="42"/>
      <c r="W32" s="2"/>
    </row>
    <row r="33" spans="1:23" x14ac:dyDescent="0.3">
      <c r="A33" s="2"/>
      <c r="B33" s="2"/>
      <c r="C33" s="42"/>
      <c r="D33" s="42"/>
      <c r="E33" s="42"/>
      <c r="F33" s="42"/>
      <c r="G33" s="42" t="str">
        <f t="shared" si="0"/>
        <v/>
      </c>
      <c r="H33" s="42" t="str">
        <f t="shared" si="1"/>
        <v/>
      </c>
      <c r="I33" s="45" t="str">
        <f t="shared" si="2"/>
        <v/>
      </c>
      <c r="K33" s="2" t="s">
        <v>77</v>
      </c>
      <c r="L33" s="2"/>
      <c r="N33" s="2"/>
      <c r="O33" s="2"/>
      <c r="P33" s="2"/>
      <c r="Q33" s="2"/>
      <c r="R33" s="42"/>
      <c r="S33" s="42"/>
      <c r="T33" s="42"/>
      <c r="U33" s="42"/>
      <c r="V33" s="42"/>
      <c r="W33" s="2"/>
    </row>
    <row r="34" spans="1:23" x14ac:dyDescent="0.3">
      <c r="A34" s="2"/>
      <c r="B34" s="2"/>
      <c r="C34" s="42"/>
      <c r="D34" s="42"/>
      <c r="E34" s="42"/>
      <c r="F34" s="42"/>
      <c r="G34" s="42" t="str">
        <f t="shared" si="0"/>
        <v/>
      </c>
      <c r="H34" s="42" t="str">
        <f t="shared" si="1"/>
        <v/>
      </c>
      <c r="I34" s="45" t="str">
        <f t="shared" si="2"/>
        <v/>
      </c>
      <c r="N34" s="2"/>
      <c r="O34" s="2"/>
      <c r="P34" s="2"/>
      <c r="Q34" s="2"/>
      <c r="R34" s="42"/>
      <c r="S34" s="42"/>
      <c r="T34" s="42"/>
      <c r="U34" s="42"/>
      <c r="V34" s="42"/>
      <c r="W34" s="2"/>
    </row>
    <row r="35" spans="1:23" x14ac:dyDescent="0.3">
      <c r="A35" s="2"/>
      <c r="B35" s="2"/>
      <c r="C35" s="42"/>
      <c r="D35" s="42"/>
      <c r="E35" s="42"/>
      <c r="F35" s="42"/>
      <c r="G35" s="42" t="str">
        <f t="shared" si="0"/>
        <v/>
      </c>
      <c r="H35" s="42" t="str">
        <f t="shared" si="1"/>
        <v/>
      </c>
      <c r="I35" s="45" t="str">
        <f t="shared" si="2"/>
        <v/>
      </c>
      <c r="N35" s="2"/>
      <c r="O35" s="2"/>
      <c r="P35" s="2"/>
      <c r="Q35" s="2"/>
      <c r="R35" s="42"/>
      <c r="S35" s="42"/>
      <c r="T35" s="42"/>
      <c r="U35" s="42"/>
      <c r="V35" s="42"/>
      <c r="W35" s="2"/>
    </row>
    <row r="36" spans="1:23" x14ac:dyDescent="0.3">
      <c r="A36" s="2"/>
      <c r="B36" s="2"/>
      <c r="C36" s="42"/>
      <c r="D36" s="42"/>
      <c r="E36" s="42"/>
      <c r="F36" s="42"/>
      <c r="G36" s="42" t="str">
        <f t="shared" si="0"/>
        <v/>
      </c>
      <c r="H36" s="42" t="str">
        <f t="shared" si="1"/>
        <v/>
      </c>
      <c r="I36" s="45" t="str">
        <f t="shared" si="2"/>
        <v/>
      </c>
      <c r="N36" s="2"/>
      <c r="O36" s="2"/>
      <c r="P36" s="2"/>
      <c r="Q36" s="2"/>
      <c r="R36" s="42"/>
      <c r="S36" s="42"/>
      <c r="T36" s="42"/>
      <c r="U36" s="42"/>
      <c r="V36" s="42"/>
      <c r="W36" s="2"/>
    </row>
    <row r="37" spans="1:23" x14ac:dyDescent="0.3">
      <c r="A37" s="2"/>
      <c r="B37" s="2"/>
      <c r="C37" s="42"/>
      <c r="D37" s="42"/>
      <c r="E37" s="42"/>
      <c r="F37" s="42"/>
      <c r="G37" s="42" t="str">
        <f t="shared" si="0"/>
        <v/>
      </c>
      <c r="H37" s="42" t="str">
        <f t="shared" si="1"/>
        <v/>
      </c>
      <c r="I37" s="45" t="str">
        <f t="shared" si="2"/>
        <v/>
      </c>
      <c r="N37" s="2"/>
      <c r="O37" s="2"/>
      <c r="P37" s="2"/>
      <c r="Q37" s="2"/>
      <c r="R37" s="42"/>
      <c r="S37" s="42"/>
      <c r="T37" s="42"/>
      <c r="U37" s="42"/>
      <c r="V37" s="42"/>
      <c r="W37" s="2"/>
    </row>
    <row r="38" spans="1:23" x14ac:dyDescent="0.3">
      <c r="A38" s="2"/>
      <c r="B38" s="2"/>
      <c r="C38" s="42"/>
      <c r="D38" s="42"/>
      <c r="E38" s="42"/>
      <c r="F38" s="42"/>
      <c r="G38" s="42" t="str">
        <f t="shared" si="0"/>
        <v/>
      </c>
      <c r="H38" s="42" t="str">
        <f t="shared" si="1"/>
        <v/>
      </c>
      <c r="I38" s="45" t="str">
        <f t="shared" si="2"/>
        <v/>
      </c>
      <c r="N38" s="2"/>
      <c r="O38" s="2"/>
      <c r="P38" s="2"/>
      <c r="Q38" s="2"/>
      <c r="R38" s="42"/>
      <c r="S38" s="42"/>
      <c r="T38" s="42"/>
      <c r="U38" s="42"/>
      <c r="V38" s="42"/>
      <c r="W38" s="2"/>
    </row>
    <row r="39" spans="1:23" x14ac:dyDescent="0.3">
      <c r="A39" s="2"/>
      <c r="B39" s="2"/>
      <c r="C39" s="42"/>
      <c r="D39" s="42"/>
      <c r="E39" s="42"/>
      <c r="F39" s="42"/>
      <c r="G39" s="42" t="str">
        <f t="shared" si="0"/>
        <v/>
      </c>
      <c r="H39" s="42" t="str">
        <f t="shared" si="1"/>
        <v/>
      </c>
      <c r="I39" s="45" t="str">
        <f t="shared" si="2"/>
        <v/>
      </c>
      <c r="N39" s="2"/>
      <c r="O39" s="2"/>
      <c r="P39" s="2"/>
      <c r="Q39" s="2"/>
      <c r="R39" s="42"/>
      <c r="S39" s="42"/>
      <c r="T39" s="42"/>
      <c r="U39" s="42"/>
      <c r="V39" s="42"/>
      <c r="W39" s="2"/>
    </row>
    <row r="40" spans="1:23" x14ac:dyDescent="0.3">
      <c r="A40" s="2"/>
      <c r="B40" s="2"/>
      <c r="C40" s="42"/>
      <c r="D40" s="42"/>
      <c r="E40" s="42"/>
      <c r="F40" s="42"/>
      <c r="G40" s="42" t="str">
        <f t="shared" si="0"/>
        <v/>
      </c>
      <c r="H40" s="42" t="str">
        <f t="shared" si="1"/>
        <v/>
      </c>
      <c r="I40" s="45" t="str">
        <f t="shared" si="2"/>
        <v/>
      </c>
      <c r="N40" s="2"/>
      <c r="O40" s="2"/>
      <c r="P40" s="2"/>
      <c r="Q40" s="2"/>
      <c r="R40" s="42"/>
      <c r="S40" s="42"/>
      <c r="T40" s="42"/>
      <c r="U40" s="42"/>
      <c r="V40" s="42"/>
      <c r="W40" s="2"/>
    </row>
    <row r="41" spans="1:23" x14ac:dyDescent="0.3">
      <c r="A41" s="2"/>
      <c r="B41" s="2"/>
      <c r="C41" s="42"/>
      <c r="D41" s="42"/>
      <c r="E41" s="42"/>
      <c r="F41" s="42"/>
      <c r="G41" s="42" t="str">
        <f t="shared" si="0"/>
        <v/>
      </c>
      <c r="H41" s="42" t="str">
        <f t="shared" si="1"/>
        <v/>
      </c>
      <c r="I41" s="45" t="str">
        <f t="shared" si="2"/>
        <v/>
      </c>
      <c r="N41" s="2"/>
      <c r="O41" s="2"/>
      <c r="P41" s="2"/>
      <c r="Q41" s="2"/>
      <c r="R41" s="42"/>
      <c r="S41" s="42"/>
      <c r="T41" s="42"/>
      <c r="U41" s="42"/>
      <c r="V41" s="42"/>
      <c r="W41" s="2"/>
    </row>
    <row r="42" spans="1:23" x14ac:dyDescent="0.3">
      <c r="A42" s="2"/>
      <c r="B42" s="2"/>
      <c r="C42" s="42"/>
      <c r="D42" s="42"/>
      <c r="E42" s="42"/>
      <c r="F42" s="42"/>
      <c r="G42" s="42" t="str">
        <f t="shared" si="0"/>
        <v/>
      </c>
      <c r="H42" s="42" t="str">
        <f t="shared" si="1"/>
        <v/>
      </c>
      <c r="I42" s="45" t="str">
        <f t="shared" si="2"/>
        <v/>
      </c>
      <c r="N42" s="2"/>
      <c r="O42" s="2"/>
      <c r="P42" s="2"/>
      <c r="Q42" s="2"/>
      <c r="R42" s="42"/>
      <c r="S42" s="42"/>
      <c r="T42" s="42"/>
      <c r="U42" s="42"/>
      <c r="V42" s="42"/>
      <c r="W42" s="2"/>
    </row>
    <row r="43" spans="1:23" x14ac:dyDescent="0.3">
      <c r="A43" s="2"/>
      <c r="B43" s="2"/>
      <c r="C43" s="42"/>
      <c r="D43" s="42"/>
      <c r="E43" s="42"/>
      <c r="F43" s="42"/>
      <c r="G43" s="42" t="str">
        <f t="shared" si="0"/>
        <v/>
      </c>
      <c r="H43" s="42" t="str">
        <f t="shared" si="1"/>
        <v/>
      </c>
      <c r="I43" s="45" t="str">
        <f t="shared" si="2"/>
        <v/>
      </c>
      <c r="N43" s="2"/>
      <c r="O43" s="2"/>
      <c r="P43" s="2"/>
      <c r="Q43" s="2"/>
      <c r="R43" s="42"/>
      <c r="S43" s="42"/>
      <c r="T43" s="42"/>
      <c r="U43" s="42"/>
      <c r="V43" s="42"/>
      <c r="W43" s="2"/>
    </row>
    <row r="44" spans="1:23" x14ac:dyDescent="0.3">
      <c r="A44" s="2"/>
      <c r="B44" s="2"/>
      <c r="C44" s="42"/>
      <c r="D44" s="42"/>
      <c r="E44" s="42"/>
      <c r="F44" s="42"/>
      <c r="G44" s="42" t="str">
        <f t="shared" si="0"/>
        <v/>
      </c>
      <c r="H44" s="42" t="str">
        <f t="shared" si="1"/>
        <v/>
      </c>
      <c r="I44" s="45" t="str">
        <f t="shared" si="2"/>
        <v/>
      </c>
      <c r="N44" s="2"/>
      <c r="O44" s="2"/>
      <c r="P44" s="2"/>
      <c r="Q44" s="2"/>
      <c r="R44" s="42"/>
      <c r="S44" s="42"/>
      <c r="T44" s="42"/>
      <c r="U44" s="42"/>
      <c r="V44" s="42"/>
      <c r="W44" s="2"/>
    </row>
    <row r="45" spans="1:23" x14ac:dyDescent="0.3">
      <c r="A45" s="2"/>
      <c r="B45" s="2"/>
      <c r="C45" s="42"/>
      <c r="D45" s="42"/>
      <c r="E45" s="42"/>
      <c r="F45" s="42"/>
      <c r="G45" s="42" t="str">
        <f t="shared" si="0"/>
        <v/>
      </c>
      <c r="H45" s="42" t="str">
        <f t="shared" si="1"/>
        <v/>
      </c>
      <c r="I45" s="45" t="str">
        <f t="shared" si="2"/>
        <v/>
      </c>
      <c r="N45" s="2"/>
      <c r="O45" s="2"/>
      <c r="P45" s="2"/>
      <c r="Q45" s="2"/>
      <c r="R45" s="42"/>
      <c r="S45" s="42"/>
      <c r="T45" s="42"/>
      <c r="U45" s="42"/>
      <c r="V45" s="42"/>
      <c r="W45" s="2"/>
    </row>
    <row r="46" spans="1:23" x14ac:dyDescent="0.3">
      <c r="A46" s="2"/>
      <c r="B46" s="2"/>
      <c r="C46" s="42"/>
      <c r="D46" s="42"/>
      <c r="E46" s="42"/>
      <c r="F46" s="42"/>
      <c r="G46" s="42" t="str">
        <f t="shared" si="0"/>
        <v/>
      </c>
      <c r="H46" s="42" t="str">
        <f t="shared" si="1"/>
        <v/>
      </c>
      <c r="I46" s="45" t="str">
        <f t="shared" si="2"/>
        <v/>
      </c>
      <c r="N46" s="2"/>
      <c r="O46" s="2"/>
      <c r="P46" s="2"/>
      <c r="Q46" s="2"/>
      <c r="R46" s="42"/>
      <c r="S46" s="42"/>
      <c r="T46" s="42"/>
      <c r="U46" s="42"/>
      <c r="V46" s="42"/>
      <c r="W46" s="2"/>
    </row>
    <row r="47" spans="1:23" x14ac:dyDescent="0.3">
      <c r="A47" s="2"/>
      <c r="B47" s="2"/>
      <c r="C47" s="42"/>
      <c r="D47" s="42"/>
      <c r="E47" s="42"/>
      <c r="F47" s="42"/>
      <c r="G47" s="42" t="str">
        <f t="shared" si="0"/>
        <v/>
      </c>
      <c r="H47" s="42" t="str">
        <f t="shared" si="1"/>
        <v/>
      </c>
      <c r="I47" s="45" t="str">
        <f t="shared" si="2"/>
        <v/>
      </c>
      <c r="N47" s="2"/>
      <c r="O47" s="2"/>
      <c r="P47" s="2"/>
      <c r="Q47" s="2"/>
      <c r="R47" s="42"/>
      <c r="S47" s="42"/>
      <c r="T47" s="42"/>
      <c r="U47" s="42"/>
      <c r="V47" s="42"/>
      <c r="W47" s="2"/>
    </row>
    <row r="48" spans="1:23" x14ac:dyDescent="0.3">
      <c r="A48" s="2"/>
      <c r="B48" s="2"/>
      <c r="C48" s="42"/>
      <c r="D48" s="42"/>
      <c r="E48" s="42"/>
      <c r="F48" s="42"/>
      <c r="G48" s="42" t="str">
        <f t="shared" si="0"/>
        <v/>
      </c>
      <c r="H48" s="42" t="str">
        <f t="shared" si="1"/>
        <v/>
      </c>
      <c r="I48" s="45" t="str">
        <f t="shared" si="2"/>
        <v/>
      </c>
      <c r="N48" s="2"/>
      <c r="O48" s="2"/>
      <c r="P48" s="2"/>
      <c r="Q48" s="2"/>
      <c r="R48" s="42"/>
      <c r="S48" s="42"/>
      <c r="T48" s="42"/>
      <c r="U48" s="42"/>
      <c r="V48" s="42"/>
      <c r="W48" s="2"/>
    </row>
    <row r="49" spans="1:23" x14ac:dyDescent="0.3">
      <c r="A49" s="2"/>
      <c r="B49" s="2"/>
      <c r="C49" s="42"/>
      <c r="D49" s="42"/>
      <c r="E49" s="42"/>
      <c r="F49" s="42"/>
      <c r="G49" s="42" t="str">
        <f t="shared" si="0"/>
        <v/>
      </c>
      <c r="H49" s="42" t="str">
        <f t="shared" si="1"/>
        <v/>
      </c>
      <c r="I49" s="45" t="str">
        <f t="shared" si="2"/>
        <v/>
      </c>
      <c r="N49" s="2"/>
      <c r="O49" s="2"/>
      <c r="P49" s="2"/>
      <c r="Q49" s="2"/>
      <c r="R49" s="42"/>
      <c r="S49" s="42"/>
      <c r="T49" s="42"/>
      <c r="U49" s="42"/>
      <c r="V49" s="42"/>
      <c r="W49" s="2"/>
    </row>
    <row r="50" spans="1:23" x14ac:dyDescent="0.3">
      <c r="A50" s="2"/>
      <c r="B50" s="2"/>
      <c r="C50" s="42"/>
      <c r="D50" s="42"/>
      <c r="E50" s="42"/>
      <c r="F50" s="42"/>
      <c r="G50" s="42" t="str">
        <f t="shared" si="0"/>
        <v/>
      </c>
      <c r="H50" s="42" t="str">
        <f t="shared" si="1"/>
        <v/>
      </c>
      <c r="I50" s="45" t="str">
        <f t="shared" si="2"/>
        <v/>
      </c>
      <c r="N50" s="2"/>
      <c r="O50" s="2"/>
      <c r="P50" s="2"/>
      <c r="Q50" s="2"/>
      <c r="R50" s="42"/>
      <c r="S50" s="42"/>
      <c r="T50" s="42"/>
      <c r="U50" s="42"/>
      <c r="V50" s="42"/>
      <c r="W50" s="2"/>
    </row>
    <row r="51" spans="1:23" x14ac:dyDescent="0.3">
      <c r="A51" s="2"/>
      <c r="B51" s="2"/>
      <c r="C51" s="42"/>
      <c r="D51" s="42"/>
      <c r="E51" s="42"/>
      <c r="F51" s="42"/>
      <c r="G51" s="42" t="str">
        <f t="shared" si="0"/>
        <v/>
      </c>
      <c r="H51" s="42" t="str">
        <f t="shared" si="1"/>
        <v/>
      </c>
      <c r="I51" s="45" t="str">
        <f t="shared" si="2"/>
        <v/>
      </c>
      <c r="N51" s="2"/>
      <c r="O51" s="2"/>
      <c r="P51" s="2"/>
      <c r="Q51" s="2"/>
      <c r="R51" s="42"/>
      <c r="S51" s="42"/>
      <c r="T51" s="42"/>
      <c r="U51" s="42"/>
      <c r="V51" s="42"/>
      <c r="W51" s="2"/>
    </row>
    <row r="52" spans="1:23" x14ac:dyDescent="0.3">
      <c r="A52" s="2"/>
      <c r="B52" s="2"/>
      <c r="C52" s="42"/>
      <c r="D52" s="42"/>
      <c r="E52" s="42"/>
      <c r="F52" s="42"/>
      <c r="G52" s="42" t="str">
        <f t="shared" si="0"/>
        <v/>
      </c>
      <c r="H52" s="42" t="str">
        <f t="shared" si="1"/>
        <v/>
      </c>
      <c r="I52" s="45" t="str">
        <f t="shared" si="2"/>
        <v/>
      </c>
      <c r="N52" s="2"/>
      <c r="O52" s="2"/>
      <c r="P52" s="2"/>
      <c r="Q52" s="2"/>
      <c r="R52" s="42"/>
      <c r="S52" s="42"/>
      <c r="T52" s="42"/>
      <c r="U52" s="42"/>
      <c r="V52" s="42"/>
      <c r="W52" s="2"/>
    </row>
    <row r="53" spans="1:23" x14ac:dyDescent="0.3">
      <c r="A53" s="2"/>
      <c r="B53" s="2"/>
      <c r="C53" s="42"/>
      <c r="D53" s="42"/>
      <c r="E53" s="42"/>
      <c r="F53" s="42"/>
      <c r="G53" s="42" t="str">
        <f t="shared" si="0"/>
        <v/>
      </c>
      <c r="H53" s="42" t="str">
        <f t="shared" si="1"/>
        <v/>
      </c>
      <c r="I53" s="45" t="str">
        <f t="shared" si="2"/>
        <v/>
      </c>
      <c r="N53" s="2"/>
      <c r="O53" s="2"/>
      <c r="P53" s="2"/>
      <c r="Q53" s="2"/>
      <c r="R53" s="42"/>
      <c r="S53" s="42"/>
      <c r="T53" s="42"/>
      <c r="U53" s="42"/>
      <c r="V53" s="42"/>
      <c r="W53" s="2"/>
    </row>
    <row r="54" spans="1:23" x14ac:dyDescent="0.3">
      <c r="A54" s="2"/>
      <c r="B54" s="2"/>
      <c r="C54" s="42"/>
      <c r="D54" s="42"/>
      <c r="E54" s="42"/>
      <c r="F54" s="42"/>
      <c r="G54" s="42" t="str">
        <f t="shared" si="0"/>
        <v/>
      </c>
      <c r="H54" s="42" t="str">
        <f t="shared" si="1"/>
        <v/>
      </c>
      <c r="I54" s="45" t="str">
        <f t="shared" si="2"/>
        <v/>
      </c>
      <c r="N54" s="2"/>
      <c r="O54" s="2"/>
      <c r="P54" s="2"/>
      <c r="Q54" s="2"/>
      <c r="R54" s="42"/>
      <c r="S54" s="42"/>
      <c r="T54" s="42"/>
      <c r="U54" s="42"/>
      <c r="V54" s="42"/>
      <c r="W54" s="2"/>
    </row>
    <row r="55" spans="1:23" x14ac:dyDescent="0.3">
      <c r="A55" s="2"/>
      <c r="B55" s="2"/>
      <c r="C55" s="42"/>
      <c r="D55" s="42"/>
      <c r="E55" s="42"/>
      <c r="F55" s="42"/>
      <c r="G55" s="42" t="str">
        <f t="shared" si="0"/>
        <v/>
      </c>
      <c r="H55" s="42" t="str">
        <f t="shared" si="1"/>
        <v/>
      </c>
      <c r="I55" s="45" t="str">
        <f t="shared" si="2"/>
        <v/>
      </c>
      <c r="N55" s="2"/>
      <c r="O55" s="2"/>
      <c r="P55" s="2"/>
      <c r="Q55" s="2"/>
      <c r="R55" s="42"/>
      <c r="S55" s="42"/>
      <c r="T55" s="42"/>
      <c r="U55" s="42"/>
      <c r="V55" s="42"/>
      <c r="W55" s="2"/>
    </row>
    <row r="56" spans="1:23" x14ac:dyDescent="0.3">
      <c r="A56" s="2"/>
      <c r="B56" s="2"/>
      <c r="C56" s="42"/>
      <c r="D56" s="42"/>
      <c r="E56" s="42"/>
      <c r="F56" s="42"/>
      <c r="G56" s="42" t="str">
        <f t="shared" si="0"/>
        <v/>
      </c>
      <c r="H56" s="42" t="str">
        <f t="shared" si="1"/>
        <v/>
      </c>
      <c r="I56" s="45" t="str">
        <f t="shared" si="2"/>
        <v/>
      </c>
      <c r="N56" s="2"/>
      <c r="O56" s="2"/>
      <c r="P56" s="2"/>
      <c r="Q56" s="2"/>
      <c r="R56" s="42"/>
      <c r="S56" s="42"/>
      <c r="T56" s="42"/>
      <c r="U56" s="42"/>
      <c r="V56" s="42"/>
      <c r="W56" s="2"/>
    </row>
    <row r="57" spans="1:23" x14ac:dyDescent="0.3">
      <c r="A57" s="2"/>
      <c r="B57" s="2"/>
      <c r="C57" s="42"/>
      <c r="D57" s="42"/>
      <c r="E57" s="42"/>
      <c r="F57" s="42"/>
      <c r="G57" s="42" t="str">
        <f t="shared" si="0"/>
        <v/>
      </c>
      <c r="H57" s="42" t="str">
        <f t="shared" si="1"/>
        <v/>
      </c>
      <c r="I57" s="45" t="str">
        <f t="shared" si="2"/>
        <v/>
      </c>
      <c r="N57" s="2"/>
      <c r="O57" s="2"/>
      <c r="P57" s="2"/>
      <c r="Q57" s="2"/>
      <c r="R57" s="42"/>
      <c r="S57" s="42"/>
      <c r="T57" s="42"/>
      <c r="U57" s="42"/>
      <c r="V57" s="42"/>
      <c r="W57" s="2"/>
    </row>
    <row r="58" spans="1:23" x14ac:dyDescent="0.3">
      <c r="A58" s="2"/>
      <c r="B58" s="2"/>
      <c r="C58" s="42"/>
      <c r="D58" s="42"/>
      <c r="E58" s="42"/>
      <c r="F58" s="42"/>
      <c r="G58" s="42" t="str">
        <f t="shared" si="0"/>
        <v/>
      </c>
      <c r="H58" s="42" t="str">
        <f t="shared" si="1"/>
        <v/>
      </c>
      <c r="I58" s="45" t="str">
        <f t="shared" si="2"/>
        <v/>
      </c>
      <c r="N58" s="2"/>
      <c r="O58" s="2"/>
      <c r="P58" s="2"/>
      <c r="Q58" s="2"/>
      <c r="R58" s="42"/>
      <c r="S58" s="42"/>
      <c r="T58" s="42"/>
      <c r="U58" s="42"/>
      <c r="V58" s="42"/>
      <c r="W58" s="2"/>
    </row>
    <row r="59" spans="1:23" x14ac:dyDescent="0.3">
      <c r="N59" s="2"/>
      <c r="O59" s="2"/>
      <c r="P59" s="2"/>
      <c r="Q59" s="2"/>
      <c r="R59" s="42"/>
      <c r="S59" s="42"/>
      <c r="T59" s="42"/>
      <c r="U59" s="42"/>
      <c r="V59" s="42"/>
      <c r="W59" s="2"/>
    </row>
    <row r="60" spans="1:23" x14ac:dyDescent="0.3">
      <c r="N60" s="2"/>
      <c r="O60" s="2"/>
      <c r="P60" s="2"/>
      <c r="Q60" s="2"/>
      <c r="R60" s="42"/>
      <c r="S60" s="42"/>
      <c r="T60" s="42"/>
      <c r="U60" s="42"/>
      <c r="V60" s="42"/>
      <c r="W60" s="2"/>
    </row>
    <row r="61" spans="1:23" x14ac:dyDescent="0.3">
      <c r="N61" s="2"/>
      <c r="O61" s="2"/>
      <c r="P61" s="2"/>
      <c r="Q61" s="2"/>
      <c r="R61" s="42"/>
      <c r="S61" s="42"/>
      <c r="T61" s="42"/>
      <c r="U61" s="42"/>
      <c r="V61" s="42"/>
      <c r="W61" s="2"/>
    </row>
    <row r="62" spans="1:23" x14ac:dyDescent="0.3">
      <c r="N62" s="2"/>
      <c r="O62" s="2"/>
      <c r="P62" s="2"/>
      <c r="Q62" s="2"/>
      <c r="R62" s="42"/>
      <c r="S62" s="42"/>
      <c r="T62" s="42"/>
      <c r="U62" s="42"/>
      <c r="V62" s="42"/>
      <c r="W62" s="2"/>
    </row>
    <row r="63" spans="1:23" x14ac:dyDescent="0.3">
      <c r="N63" s="2"/>
      <c r="O63" s="2"/>
      <c r="P63" s="2"/>
      <c r="Q63" s="2"/>
      <c r="R63" s="42"/>
      <c r="S63" s="42"/>
      <c r="T63" s="42"/>
      <c r="U63" s="42"/>
      <c r="V63" s="42"/>
      <c r="W63" s="2"/>
    </row>
    <row r="64" spans="1:23" x14ac:dyDescent="0.3">
      <c r="N64" s="2"/>
      <c r="O64" s="2"/>
      <c r="P64" s="2"/>
      <c r="Q64" s="2"/>
      <c r="R64" s="42"/>
      <c r="S64" s="42"/>
      <c r="T64" s="42"/>
      <c r="U64" s="42"/>
      <c r="V64" s="42"/>
      <c r="W64" s="2"/>
    </row>
    <row r="65" spans="14:23" x14ac:dyDescent="0.3">
      <c r="N65" s="2"/>
      <c r="O65" s="2"/>
      <c r="P65" s="2"/>
      <c r="Q65" s="2"/>
      <c r="R65" s="42"/>
      <c r="S65" s="42"/>
      <c r="T65" s="42"/>
      <c r="U65" s="42"/>
      <c r="V65" s="42"/>
      <c r="W65" s="2"/>
    </row>
    <row r="66" spans="14:23" x14ac:dyDescent="0.3">
      <c r="N66" s="2"/>
      <c r="O66" s="2"/>
      <c r="P66" s="2"/>
      <c r="Q66" s="2"/>
      <c r="R66" s="42"/>
      <c r="S66" s="42"/>
      <c r="T66" s="42"/>
      <c r="U66" s="42"/>
      <c r="V66" s="42"/>
      <c r="W66" s="2"/>
    </row>
    <row r="67" spans="14:23" x14ac:dyDescent="0.3">
      <c r="N67" s="2"/>
      <c r="O67" s="2"/>
      <c r="P67" s="2"/>
      <c r="Q67" s="2"/>
      <c r="R67" s="42"/>
      <c r="S67" s="42"/>
      <c r="T67" s="42"/>
      <c r="U67" s="42"/>
      <c r="V67" s="42"/>
      <c r="W67" s="2"/>
    </row>
    <row r="68" spans="14:23" x14ac:dyDescent="0.3">
      <c r="N68" s="2"/>
      <c r="O68" s="2"/>
      <c r="P68" s="2"/>
      <c r="Q68" s="2"/>
      <c r="R68" s="42"/>
      <c r="S68" s="42"/>
      <c r="T68" s="42"/>
      <c r="U68" s="42"/>
      <c r="V68" s="42"/>
      <c r="W68" s="2"/>
    </row>
  </sheetData>
  <mergeCells count="2">
    <mergeCell ref="K21:L21"/>
    <mergeCell ref="K22:L29"/>
  </mergeCells>
  <phoneticPr fontId="2" type="noConversion"/>
  <conditionalFormatting sqref="H4:I58">
    <cfRule type="cellIs" dxfId="7" priority="3" operator="lessThan">
      <formula>0</formula>
    </cfRule>
    <cfRule type="cellIs" dxfId="6" priority="4" operator="greaterThan">
      <formula>0</formula>
    </cfRule>
  </conditionalFormatting>
  <conditionalFormatting sqref="H2:I2">
    <cfRule type="cellIs" dxfId="5" priority="1" operator="lessThan">
      <formula>0</formula>
    </cfRule>
    <cfRule type="cellIs" dxfId="4" priority="2" operator="greaterThan">
      <formula>0</formula>
    </cfRule>
  </conditionalFormatting>
  <dataValidations count="4">
    <dataValidation type="list" allowBlank="1" showInputMessage="1" showErrorMessage="1" sqref="L7">
      <formula1>"00:지정가,03:시장가,05:조건부지정가,06:최유리지정가,07:최우선지정가,61:장개시전시간외종가,81:시간외종가82:시간외단일가"</formula1>
    </dataValidation>
    <dataValidation type="list" allowBlank="1" showInputMessage="1" showErrorMessage="1" sqref="O2">
      <formula1>"0:전체,1:체결,2:미체결"</formula1>
    </dataValidation>
    <dataValidation type="list" allowBlank="1" showInputMessage="1" showErrorMessage="1" sqref="L8">
      <formula1>"0:없음,1:IOC,2:FOK"</formula1>
    </dataValidation>
    <dataValidation type="list" allowBlank="1" showInputMessage="1" showErrorMessage="1" sqref="W2">
      <formula1>"0:전체,1:체결,3:미체결"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0" r:id="rId4" name="btnBalanceListNext">
          <controlPr autoLine="0" r:id="rId5">
            <anchor moveWithCells="1">
              <from>
                <xdr:col>2</xdr:col>
                <xdr:colOff>504825</xdr:colOff>
                <xdr:row>0</xdr:row>
                <xdr:rowOff>66675</xdr:rowOff>
              </from>
              <to>
                <xdr:col>4</xdr:col>
                <xdr:colOff>590550</xdr:colOff>
                <xdr:row>1</xdr:row>
                <xdr:rowOff>161925</xdr:rowOff>
              </to>
            </anchor>
          </controlPr>
        </control>
      </mc:Choice>
      <mc:Fallback>
        <control shapeId="2070" r:id="rId4" name="btnBalanceListNext"/>
      </mc:Fallback>
    </mc:AlternateContent>
    <mc:AlternateContent xmlns:mc="http://schemas.openxmlformats.org/markup-compatibility/2006">
      <mc:Choice Requires="x14">
        <control shapeId="2069" r:id="rId6" name="btnBalanceList">
          <controlPr autoLine="0" r:id="rId7">
            <anchor moveWithCells="1">
              <from>
                <xdr:col>0</xdr:col>
                <xdr:colOff>371475</xdr:colOff>
                <xdr:row>0</xdr:row>
                <xdr:rowOff>57150</xdr:rowOff>
              </from>
              <to>
                <xdr:col>2</xdr:col>
                <xdr:colOff>457200</xdr:colOff>
                <xdr:row>1</xdr:row>
                <xdr:rowOff>152400</xdr:rowOff>
              </to>
            </anchor>
          </controlPr>
        </control>
      </mc:Choice>
      <mc:Fallback>
        <control shapeId="2069" r:id="rId6" name="btnBalanceList"/>
      </mc:Fallback>
    </mc:AlternateContent>
    <mc:AlternateContent xmlns:mc="http://schemas.openxmlformats.org/markup-compatibility/2006">
      <mc:Choice Requires="x14">
        <control shapeId="2067" r:id="rId8" name="btnOrderListNext">
          <controlPr autoLine="0" r:id="rId9">
            <anchor moveWithCells="1">
              <from>
                <xdr:col>15</xdr:col>
                <xdr:colOff>361950</xdr:colOff>
                <xdr:row>0</xdr:row>
                <xdr:rowOff>57150</xdr:rowOff>
              </from>
              <to>
                <xdr:col>18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2067" r:id="rId8" name="btnOrderListNext"/>
      </mc:Fallback>
    </mc:AlternateContent>
    <mc:AlternateContent xmlns:mc="http://schemas.openxmlformats.org/markup-compatibility/2006">
      <mc:Choice Requires="x14">
        <control shapeId="2064" r:id="rId10" name="btnOrderList">
          <controlPr defaultSize="0" autoLine="0" r:id="rId11">
            <anchor moveWithCells="1">
              <from>
                <xdr:col>13</xdr:col>
                <xdr:colOff>19050</xdr:colOff>
                <xdr:row>0</xdr:row>
                <xdr:rowOff>47625</xdr:rowOff>
              </from>
              <to>
                <xdr:col>15</xdr:col>
                <xdr:colOff>323850</xdr:colOff>
                <xdr:row>1</xdr:row>
                <xdr:rowOff>161925</xdr:rowOff>
              </to>
            </anchor>
          </controlPr>
        </control>
      </mc:Choice>
      <mc:Fallback>
        <control shapeId="2064" r:id="rId10" name="btnOrderList"/>
      </mc:Fallback>
    </mc:AlternateContent>
    <mc:AlternateContent xmlns:mc="http://schemas.openxmlformats.org/markup-compatibility/2006">
      <mc:Choice Requires="x14">
        <control shapeId="2052" r:id="rId12" name="btnOrder1">
          <controlPr defaultSize="0" autoLine="0" r:id="rId13">
            <anchor moveWithCells="1">
              <from>
                <xdr:col>10</xdr:col>
                <xdr:colOff>38100</xdr:colOff>
                <xdr:row>12</xdr:row>
                <xdr:rowOff>133350</xdr:rowOff>
              </from>
              <to>
                <xdr:col>11</xdr:col>
                <xdr:colOff>228600</xdr:colOff>
                <xdr:row>15</xdr:row>
                <xdr:rowOff>66675</xdr:rowOff>
              </to>
            </anchor>
          </controlPr>
        </control>
      </mc:Choice>
      <mc:Fallback>
        <control shapeId="2052" r:id="rId12" name="btnOrder1"/>
      </mc:Fallback>
    </mc:AlternateContent>
    <mc:AlternateContent xmlns:mc="http://schemas.openxmlformats.org/markup-compatibility/2006">
      <mc:Choice Requires="x14">
        <control shapeId="2055" r:id="rId14" name="tbPwd">
          <controlPr defaultSize="0" autoLine="0" r:id="rId1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55" r:id="rId14" name="tbPwd"/>
      </mc:Fallback>
    </mc:AlternateContent>
    <mc:AlternateContent xmlns:mc="http://schemas.openxmlformats.org/markup-compatibility/2006">
      <mc:Choice Requires="x14">
        <control shapeId="2060" r:id="rId16" name="cbAccount">
          <controlPr defaultSize="0" autoLine="0" r:id="rId17">
            <anchor moveWithCells="1">
              <from>
                <xdr:col>11</xdr:col>
                <xdr:colOff>9525</xdr:colOff>
                <xdr:row>2</xdr:row>
                <xdr:rowOff>19050</xdr:rowOff>
              </from>
              <to>
                <xdr:col>11</xdr:col>
                <xdr:colOff>1371600</xdr:colOff>
                <xdr:row>3</xdr:row>
                <xdr:rowOff>0</xdr:rowOff>
              </to>
            </anchor>
          </controlPr>
        </control>
      </mc:Choice>
      <mc:Fallback>
        <control shapeId="2060" r:id="rId16" name="cbAccount"/>
      </mc:Fallback>
    </mc:AlternateContent>
    <mc:AlternateContent xmlns:mc="http://schemas.openxmlformats.org/markup-compatibility/2006">
      <mc:Choice Requires="x14">
        <control shapeId="2061" r:id="rId18" name="btnOrder2">
          <controlPr defaultSize="0" autoLine="0" r:id="rId19">
            <anchor moveWithCells="1">
              <from>
                <xdr:col>11</xdr:col>
                <xdr:colOff>257175</xdr:colOff>
                <xdr:row>12</xdr:row>
                <xdr:rowOff>133350</xdr:rowOff>
              </from>
              <to>
                <xdr:col>11</xdr:col>
                <xdr:colOff>1362075</xdr:colOff>
                <xdr:row>15</xdr:row>
                <xdr:rowOff>66675</xdr:rowOff>
              </to>
            </anchor>
          </controlPr>
        </control>
      </mc:Choice>
      <mc:Fallback>
        <control shapeId="2061" r:id="rId18" name="btnOrder2"/>
      </mc:Fallback>
    </mc:AlternateContent>
    <mc:AlternateContent xmlns:mc="http://schemas.openxmlformats.org/markup-compatibility/2006">
      <mc:Choice Requires="x14">
        <control shapeId="2062" r:id="rId20" name="btnModify">
          <controlPr defaultSize="0" autoLine="0" r:id="rId21">
            <anchor moveWithCells="1">
              <from>
                <xdr:col>10</xdr:col>
                <xdr:colOff>38100</xdr:colOff>
                <xdr:row>15</xdr:row>
                <xdr:rowOff>85725</xdr:rowOff>
              </from>
              <to>
                <xdr:col>11</xdr:col>
                <xdr:colOff>228600</xdr:colOff>
                <xdr:row>18</xdr:row>
                <xdr:rowOff>19050</xdr:rowOff>
              </to>
            </anchor>
          </controlPr>
        </control>
      </mc:Choice>
      <mc:Fallback>
        <control shapeId="2062" r:id="rId20" name="btnModify"/>
      </mc:Fallback>
    </mc:AlternateContent>
    <mc:AlternateContent xmlns:mc="http://schemas.openxmlformats.org/markup-compatibility/2006">
      <mc:Choice Requires="x14">
        <control shapeId="2063" r:id="rId22" name="btnCancel">
          <controlPr defaultSize="0" autoLine="0" r:id="rId23">
            <anchor moveWithCells="1">
              <from>
                <xdr:col>11</xdr:col>
                <xdr:colOff>257175</xdr:colOff>
                <xdr:row>15</xdr:row>
                <xdr:rowOff>85725</xdr:rowOff>
              </from>
              <to>
                <xdr:col>11</xdr:col>
                <xdr:colOff>1362075</xdr:colOff>
                <xdr:row>18</xdr:row>
                <xdr:rowOff>19050</xdr:rowOff>
              </to>
            </anchor>
          </controlPr>
        </control>
      </mc:Choice>
      <mc:Fallback>
        <control shapeId="2063" r:id="rId22" name="btnCance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1"/>
  <sheetViews>
    <sheetView workbookViewId="0">
      <pane xSplit="3" ySplit="6" topLeftCell="D7" activePane="bottomRight" state="frozen"/>
      <selection pane="topRight" activeCell="D1" sqref="D1"/>
      <selection pane="bottomLeft" activeCell="A5" sqref="A5"/>
      <selection pane="bottomRight" activeCell="D7" sqref="D7"/>
    </sheetView>
  </sheetViews>
  <sheetFormatPr defaultRowHeight="16.5" x14ac:dyDescent="0.3"/>
  <cols>
    <col min="1" max="1" width="9" style="1"/>
    <col min="2" max="2" width="15.125" style="1" bestFit="1" customWidth="1"/>
    <col min="3" max="3" width="5.5" style="1" bestFit="1" customWidth="1"/>
    <col min="4" max="7" width="9" style="1"/>
    <col min="8" max="8" width="12.125" style="1" bestFit="1" customWidth="1"/>
    <col min="9" max="9" width="12.125" style="1" customWidth="1"/>
    <col min="10" max="10" width="12.125" style="1" bestFit="1" customWidth="1"/>
    <col min="11" max="11" width="12.125" style="1" customWidth="1"/>
    <col min="12" max="16384" width="9" style="1"/>
  </cols>
  <sheetData>
    <row r="1" spans="1:18" ht="16.5" customHeight="1" x14ac:dyDescent="0.3"/>
    <row r="2" spans="1:18" ht="16.5" customHeight="1" x14ac:dyDescent="0.3">
      <c r="A2" s="50" t="s">
        <v>61</v>
      </c>
      <c r="B2" s="82"/>
      <c r="C2" s="82"/>
    </row>
    <row r="3" spans="1:18" ht="16.5" customHeight="1" x14ac:dyDescent="0.3">
      <c r="A3" s="50" t="s">
        <v>62</v>
      </c>
      <c r="B3" s="82"/>
      <c r="C3" s="82"/>
    </row>
    <row r="4" spans="1:18" ht="36.75" customHeight="1" x14ac:dyDescent="0.3"/>
    <row r="5" spans="1:18" ht="16.5" customHeight="1" x14ac:dyDescent="0.3">
      <c r="A5" s="85" t="s">
        <v>53</v>
      </c>
      <c r="B5" s="85" t="s">
        <v>54</v>
      </c>
      <c r="C5" s="85" t="s">
        <v>55</v>
      </c>
      <c r="D5" s="87" t="s">
        <v>60</v>
      </c>
      <c r="E5" s="88"/>
      <c r="F5" s="88"/>
      <c r="G5" s="88"/>
      <c r="H5" s="88"/>
      <c r="I5" s="88"/>
      <c r="J5" s="88"/>
      <c r="K5" s="89"/>
      <c r="L5" s="75" t="s">
        <v>63</v>
      </c>
      <c r="M5" s="75"/>
      <c r="N5" s="75"/>
      <c r="O5" s="75" t="s">
        <v>64</v>
      </c>
      <c r="P5" s="75"/>
      <c r="Q5" s="75"/>
      <c r="R5" s="83" t="s">
        <v>70</v>
      </c>
    </row>
    <row r="6" spans="1:18" x14ac:dyDescent="0.3">
      <c r="A6" s="86"/>
      <c r="B6" s="86"/>
      <c r="C6" s="86"/>
      <c r="D6" s="29" t="s">
        <v>65</v>
      </c>
      <c r="E6" s="29" t="s">
        <v>66</v>
      </c>
      <c r="F6" s="29" t="s">
        <v>67</v>
      </c>
      <c r="G6" s="29" t="s">
        <v>68</v>
      </c>
      <c r="H6" s="29" t="s">
        <v>69</v>
      </c>
      <c r="I6" s="29" t="s">
        <v>56</v>
      </c>
      <c r="J6" s="29" t="s">
        <v>57</v>
      </c>
      <c r="K6" s="29" t="s">
        <v>58</v>
      </c>
      <c r="L6" s="29" t="s">
        <v>33</v>
      </c>
      <c r="M6" s="29" t="s">
        <v>58</v>
      </c>
      <c r="N6" s="29" t="s">
        <v>59</v>
      </c>
      <c r="O6" s="29" t="s">
        <v>33</v>
      </c>
      <c r="P6" s="29" t="s">
        <v>58</v>
      </c>
      <c r="Q6" s="29" t="s">
        <v>59</v>
      </c>
      <c r="R6" s="84"/>
    </row>
    <row r="7" spans="1:18" x14ac:dyDescent="0.3">
      <c r="A7" s="48"/>
      <c r="B7" s="46"/>
      <c r="C7" s="39"/>
      <c r="D7" s="42"/>
      <c r="E7" s="42"/>
      <c r="F7" s="42"/>
      <c r="G7" s="42"/>
      <c r="H7" s="42"/>
      <c r="I7" s="42" t="str">
        <f>IF( D7="","",D7*F7)</f>
        <v/>
      </c>
      <c r="J7" s="42" t="str">
        <f>IF( H7="","",I7-H7)</f>
        <v/>
      </c>
      <c r="K7" s="45" t="str">
        <f>IFERROR(J7/H7,"")</f>
        <v/>
      </c>
      <c r="L7" s="43"/>
      <c r="M7" s="43"/>
      <c r="N7" s="43"/>
      <c r="O7" s="44"/>
      <c r="P7" s="44"/>
      <c r="Q7" s="44"/>
      <c r="R7" s="2"/>
    </row>
    <row r="8" spans="1:18" x14ac:dyDescent="0.3">
      <c r="A8" s="48"/>
      <c r="B8" s="46"/>
      <c r="C8" s="39"/>
      <c r="D8" s="42"/>
      <c r="E8" s="42"/>
      <c r="F8" s="42"/>
      <c r="G8" s="42"/>
      <c r="H8" s="42"/>
      <c r="I8" s="42" t="str">
        <f>IF( D8="","",D8*F8)</f>
        <v/>
      </c>
      <c r="J8" s="42" t="str">
        <f t="shared" ref="J8" si="0">IF( H8="","",I8-H8)</f>
        <v/>
      </c>
      <c r="K8" s="45" t="str">
        <f t="shared" ref="K8" si="1">IFERROR(J8/H8,"")</f>
        <v/>
      </c>
      <c r="L8" s="43"/>
      <c r="M8" s="43"/>
      <c r="N8" s="43"/>
      <c r="O8" s="44"/>
      <c r="P8" s="44"/>
      <c r="Q8" s="44"/>
      <c r="R8" s="2"/>
    </row>
    <row r="9" spans="1:18" x14ac:dyDescent="0.3">
      <c r="A9" s="48"/>
      <c r="B9" s="46"/>
      <c r="C9" s="39"/>
      <c r="D9" s="42"/>
      <c r="E9" s="42"/>
      <c r="F9" s="42"/>
      <c r="G9" s="42"/>
      <c r="H9" s="42"/>
      <c r="I9" s="42" t="str">
        <f t="shared" ref="I9:I11" si="2">IF( D9="","",D9*F9)</f>
        <v/>
      </c>
      <c r="J9" s="42" t="str">
        <f t="shared" ref="J9:J11" si="3">IF( H9="","",I9-H9)</f>
        <v/>
      </c>
      <c r="K9" s="45" t="str">
        <f t="shared" ref="K9:K11" si="4">IFERROR(J9/H9,"")</f>
        <v/>
      </c>
      <c r="L9" s="43"/>
      <c r="M9" s="43"/>
      <c r="N9" s="43"/>
      <c r="O9" s="44"/>
      <c r="P9" s="44"/>
      <c r="Q9" s="44"/>
      <c r="R9" s="2"/>
    </row>
    <row r="10" spans="1:18" x14ac:dyDescent="0.3">
      <c r="A10" s="48"/>
      <c r="B10" s="46"/>
      <c r="C10" s="39"/>
      <c r="D10" s="42"/>
      <c r="E10" s="42"/>
      <c r="F10" s="42"/>
      <c r="G10" s="42"/>
      <c r="H10" s="42"/>
      <c r="I10" s="42" t="str">
        <f t="shared" si="2"/>
        <v/>
      </c>
      <c r="J10" s="42" t="str">
        <f t="shared" si="3"/>
        <v/>
      </c>
      <c r="K10" s="45" t="str">
        <f t="shared" si="4"/>
        <v/>
      </c>
      <c r="L10" s="43"/>
      <c r="M10" s="43"/>
      <c r="N10" s="43"/>
      <c r="O10" s="44"/>
      <c r="P10" s="44"/>
      <c r="Q10" s="44"/>
      <c r="R10" s="2"/>
    </row>
    <row r="11" spans="1:18" x14ac:dyDescent="0.3">
      <c r="A11" s="49"/>
      <c r="B11" s="47"/>
      <c r="C11" s="34"/>
      <c r="D11" s="42"/>
      <c r="E11" s="42"/>
      <c r="F11" s="42"/>
      <c r="G11" s="42"/>
      <c r="H11" s="42"/>
      <c r="I11" s="42" t="str">
        <f t="shared" si="2"/>
        <v/>
      </c>
      <c r="J11" s="42" t="str">
        <f t="shared" si="3"/>
        <v/>
      </c>
      <c r="K11" s="45" t="str">
        <f t="shared" si="4"/>
        <v/>
      </c>
      <c r="L11" s="43"/>
      <c r="M11" s="43"/>
      <c r="N11" s="43"/>
      <c r="O11" s="44"/>
      <c r="P11" s="44"/>
      <c r="Q11" s="44"/>
      <c r="R11" s="2"/>
    </row>
  </sheetData>
  <mergeCells count="9">
    <mergeCell ref="B2:C2"/>
    <mergeCell ref="B3:C3"/>
    <mergeCell ref="R5:R6"/>
    <mergeCell ref="O5:Q5"/>
    <mergeCell ref="A5:A6"/>
    <mergeCell ref="B5:B6"/>
    <mergeCell ref="C5:C6"/>
    <mergeCell ref="D5:K5"/>
    <mergeCell ref="L5:N5"/>
  </mergeCells>
  <phoneticPr fontId="2" type="noConversion"/>
  <conditionalFormatting sqref="J7:K11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7:F11">
    <cfRule type="expression" dxfId="1" priority="1">
      <formula>$F7&lt;$G7</formula>
    </cfRule>
    <cfRule type="expression" dxfId="0" priority="2">
      <formula>$F7&gt;$G7</formula>
    </cfRule>
  </conditionalFormatting>
  <dataValidations count="1">
    <dataValidation type="list" allowBlank="1" showInputMessage="1" showErrorMessage="1" sqref="C7:C11">
      <formula1>"▶,■"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BalanceList">
          <controlPr defaultSize="0" autoLine="0" r:id="rId4">
            <anchor moveWithCells="1">
              <from>
                <xdr:col>0</xdr:col>
                <xdr:colOff>38100</xdr:colOff>
                <xdr:row>3</xdr:row>
                <xdr:rowOff>57150</xdr:rowOff>
              </from>
              <to>
                <xdr:col>2</xdr:col>
                <xdr:colOff>381000</xdr:colOff>
                <xdr:row>3</xdr:row>
                <xdr:rowOff>438150</xdr:rowOff>
              </to>
            </anchor>
          </controlPr>
        </control>
      </mc:Choice>
      <mc:Fallback>
        <control shapeId="3073" r:id="rId3" name="btnBalanceList"/>
      </mc:Fallback>
    </mc:AlternateContent>
    <mc:AlternateContent xmlns:mc="http://schemas.openxmlformats.org/markup-compatibility/2006">
      <mc:Choice Requires="x14">
        <control shapeId="3074" r:id="rId5" name="tbPwd">
          <controlPr defaultSize="0" autoLine="0" r:id="rId6">
            <anchor moveWithCells="1">
              <from>
                <xdr:col>1</xdr:col>
                <xdr:colOff>9525</xdr:colOff>
                <xdr:row>2</xdr:row>
                <xdr:rowOff>19050</xdr:rowOff>
              </from>
              <to>
                <xdr:col>2</xdr:col>
                <xdr:colOff>400050</xdr:colOff>
                <xdr:row>2</xdr:row>
                <xdr:rowOff>200025</xdr:rowOff>
              </to>
            </anchor>
          </controlPr>
        </control>
      </mc:Choice>
      <mc:Fallback>
        <control shapeId="3074" r:id="rId5" name="tbPwd"/>
      </mc:Fallback>
    </mc:AlternateContent>
    <mc:AlternateContent xmlns:mc="http://schemas.openxmlformats.org/markup-compatibility/2006">
      <mc:Choice Requires="x14">
        <control shapeId="3075" r:id="rId7" name="cbAccount">
          <controlPr defaultSize="0" autoLine="0" r:id="rId8">
            <anchor moveWithCells="1">
              <from>
                <xdr:col>1</xdr:col>
                <xdr:colOff>19050</xdr:colOff>
                <xdr:row>1</xdr:row>
                <xdr:rowOff>9525</xdr:rowOff>
              </from>
              <to>
                <xdr:col>2</xdr:col>
                <xdr:colOff>409575</xdr:colOff>
                <xdr:row>1</xdr:row>
                <xdr:rowOff>190500</xdr:rowOff>
              </to>
            </anchor>
          </controlPr>
        </control>
      </mc:Choice>
      <mc:Fallback>
        <control shapeId="3075" r:id="rId7" name="cbAccou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시세</vt:lpstr>
      <vt:lpstr>주문&amp;계좌</vt:lpstr>
      <vt:lpstr>STOPLOSS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오현택</dc:creator>
  <cp:lastModifiedBy>B70PS</cp:lastModifiedBy>
  <dcterms:created xsi:type="dcterms:W3CDTF">2013-06-09T23:54:40Z</dcterms:created>
  <dcterms:modified xsi:type="dcterms:W3CDTF">2017-11-30T02:16:25Z</dcterms:modified>
</cp:coreProperties>
</file>